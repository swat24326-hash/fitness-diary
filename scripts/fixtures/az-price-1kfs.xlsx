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/>
  <mc:AlternateContent xmlns:mc="http://schemas.openxmlformats.org/markup-compatibility/2006">
    <mc:Choice Requires="x15">
      <x15ac:absPath xmlns:x15ac="http://schemas.microsoft.com/office/spreadsheetml/2010/11/ac" url="C:\Users\DimaFit\Desktop\"/>
    </mc:Choice>
  </mc:AlternateContent>
  <xr:revisionPtr revIDLastSave="0" documentId="13_ncr:1_{529AE159-8916-40B8-AFA4-B2640A90F463}" xr6:coauthVersionLast="45" xr6:coauthVersionMax="45" xr10:uidLastSave="{00000000-0000-0000-0000-000000000000}"/>
  <bookViews>
    <workbookView xWindow="-120" yWindow="-120" windowWidth="29040" windowHeight="15840" tabRatio="644" activeTab="1" xr2:uid="{00000000-000D-0000-FFFF-FFFF00000000}"/>
  </bookViews>
  <sheets>
    <sheet name="Доплаты" sheetId="8" r:id="rId1"/>
    <sheet name="АЗ" sheetId="10" r:id="rId2"/>
    <sheet name="Лист1" sheetId="11" r:id="rId3"/>
  </sheet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28" i="10" l="1"/>
  <c r="G25" i="10"/>
  <c r="G22" i="10"/>
  <c r="D28" i="10"/>
  <c r="D25" i="10"/>
  <c r="D22" i="10"/>
  <c r="J25" i="11" l="1"/>
  <c r="J22" i="11"/>
  <c r="I22" i="11" s="1"/>
  <c r="G28" i="11"/>
  <c r="G25" i="11"/>
  <c r="G22" i="11"/>
  <c r="F22" i="11" s="1"/>
  <c r="I28" i="11"/>
  <c r="F28" i="11"/>
  <c r="D28" i="11"/>
  <c r="C28" i="11" s="1"/>
  <c r="I25" i="11"/>
  <c r="F25" i="11"/>
  <c r="D25" i="11"/>
  <c r="C25" i="11"/>
  <c r="D22" i="11"/>
  <c r="C22" i="11" s="1"/>
  <c r="I28" i="10" l="1"/>
  <c r="J25" i="10"/>
  <c r="I25" i="10" s="1"/>
  <c r="J22" i="10"/>
  <c r="I22" i="10" s="1"/>
  <c r="F22" i="10"/>
  <c r="F25" i="10"/>
  <c r="F28" i="10"/>
  <c r="C28" i="10"/>
  <c r="C25" i="10"/>
  <c r="C22" i="10"/>
</calcChain>
</file>

<file path=xl/sharedStrings.xml><?xml version="1.0" encoding="utf-8"?>
<sst xmlns="http://schemas.openxmlformats.org/spreadsheetml/2006/main" count="55" uniqueCount="42">
  <si>
    <r>
      <rPr>
        <sz val="10"/>
        <color indexed="63"/>
        <rFont val="Arial"/>
        <charset val="204"/>
      </rPr>
      <t xml:space="preserve">Фитнес клуб "Фит-сити"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10"/>
        <color indexed="8"/>
        <rFont val="Arial"/>
        <charset val="204"/>
      </rPr>
      <t xml:space="preserve"> ул.Кюстендилская, д.36                                                                                                                                               тел.: 8-930-820-47-70</t>
    </r>
  </si>
  <si>
    <t>Доплата за посещение по дневному абонементу в вечернее время:</t>
  </si>
  <si>
    <t>Вид занятия</t>
  </si>
  <si>
    <t>Сумма доплаты за 1 тренировку</t>
  </si>
  <si>
    <t>занятие с персональным тренером по дневному абонементу вечером</t>
  </si>
  <si>
    <t>100 руб.</t>
  </si>
  <si>
    <t>Прочие доплаты</t>
  </si>
  <si>
    <t xml:space="preserve">Наименование </t>
  </si>
  <si>
    <t>Сумма</t>
  </si>
  <si>
    <t>замена клубной карты</t>
  </si>
  <si>
    <t>200руб</t>
  </si>
  <si>
    <t>утеря/поломка ключа</t>
  </si>
  <si>
    <t>повреждение кабинки</t>
  </si>
  <si>
    <t>800руб</t>
  </si>
  <si>
    <t>поломка замка</t>
  </si>
  <si>
    <t>1 минута просроченного времени в клубе</t>
  </si>
  <si>
    <t>5 руб.</t>
  </si>
  <si>
    <t>г.Клинцы</t>
  </si>
  <si>
    <t>ул.Кюстендилская, д.36</t>
  </si>
  <si>
    <t>ТЦ "Галерея"</t>
  </si>
  <si>
    <t>8-930-820-47-70;</t>
  </si>
  <si>
    <t>304-770;</t>
  </si>
  <si>
    <t>Стоимость абонемента</t>
  </si>
  <si>
    <t>Количество тренировок</t>
  </si>
  <si>
    <t>Направления</t>
  </si>
  <si>
    <t>Результат+</t>
  </si>
  <si>
    <t xml:space="preserve">
Результат1+
</t>
  </si>
  <si>
    <t xml:space="preserve">
Результат1+
ск10%</t>
  </si>
  <si>
    <t xml:space="preserve">Результат2+    </t>
  </si>
  <si>
    <t>Результат2+        ск10%</t>
  </si>
  <si>
    <t>Результат3+        ск10%</t>
  </si>
  <si>
    <t xml:space="preserve">Результат3+    </t>
  </si>
  <si>
    <t xml:space="preserve">Разовое занятие Результат+    </t>
  </si>
  <si>
    <t>Цены действительны с 21.07.2026</t>
  </si>
  <si>
    <t xml:space="preserve">Бокс    </t>
  </si>
  <si>
    <t xml:space="preserve">Степ    </t>
  </si>
  <si>
    <r>
      <t xml:space="preserve">
</t>
    </r>
    <r>
      <rPr>
        <b/>
        <sz val="20"/>
        <color theme="1"/>
        <rFont val="Times New Roman"/>
        <family val="1"/>
        <charset val="204"/>
      </rPr>
      <t>Йога</t>
    </r>
    <r>
      <rPr>
        <b/>
        <sz val="14"/>
        <color theme="1"/>
        <rFont val="Times New Roman"/>
        <charset val="204"/>
      </rPr>
      <t xml:space="preserve">
</t>
    </r>
  </si>
  <si>
    <r>
      <t xml:space="preserve">
</t>
    </r>
    <r>
      <rPr>
        <b/>
        <sz val="18"/>
        <color theme="1"/>
        <rFont val="Times New Roman"/>
        <family val="1"/>
        <charset val="204"/>
      </rPr>
      <t>Йога</t>
    </r>
    <r>
      <rPr>
        <b/>
        <sz val="14"/>
        <color theme="1"/>
        <rFont val="Times New Roman"/>
        <charset val="204"/>
      </rPr>
      <t xml:space="preserve">
ск10%</t>
    </r>
  </si>
  <si>
    <r>
      <rPr>
        <b/>
        <sz val="18"/>
        <color theme="1" tint="4.9989318521683403E-2"/>
        <rFont val="Times New Roman"/>
        <family val="1"/>
        <charset val="204"/>
      </rPr>
      <t xml:space="preserve">Бокс       </t>
    </r>
    <r>
      <rPr>
        <b/>
        <sz val="12"/>
        <color theme="1" tint="4.9989318521683403E-2"/>
        <rFont val="Times New Roman"/>
        <charset val="204"/>
      </rPr>
      <t xml:space="preserve"> ск10%</t>
    </r>
  </si>
  <si>
    <r>
      <rPr>
        <b/>
        <sz val="22"/>
        <color theme="1" tint="4.9989318521683403E-2"/>
        <rFont val="Times New Roman"/>
        <family val="1"/>
        <charset val="204"/>
      </rPr>
      <t>Степ</t>
    </r>
    <r>
      <rPr>
        <b/>
        <sz val="12"/>
        <color theme="1" tint="4.9989318521683403E-2"/>
        <rFont val="Times New Roman"/>
        <charset val="204"/>
      </rPr>
      <t xml:space="preserve">          ск 10%</t>
    </r>
  </si>
  <si>
    <t xml:space="preserve">           Зал групповых программ</t>
  </si>
  <si>
    <t xml:space="preserve"> Зал групповых программ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</si>
</sst>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\ ##0"/>
  </numFmts>
  <fonts count="33">
    <font>
      <sz val="10"/>
      <name val="Arial"/>
      <charset val="134"/>
    </font>
    <font>
      <sz val="11"/>
      <color rgb="FFFF0000"/>
      <name val="Calibri"/>
      <charset val="204"/>
      <scheme val="minor"/>
    </font>
    <font>
      <b/>
      <sz val="24"/>
      <color theme="1"/>
      <name val="Aharoni"/>
      <charset val="134"/>
    </font>
    <font>
      <b/>
      <sz val="24"/>
      <color theme="1"/>
      <name val="Calibri"/>
      <charset val="204"/>
      <scheme val="minor"/>
    </font>
    <font>
      <b/>
      <sz val="18"/>
      <color theme="1"/>
      <name val="Times New Roman"/>
      <charset val="204"/>
    </font>
    <font>
      <b/>
      <sz val="14"/>
      <color theme="1"/>
      <name val="Times New Roman"/>
      <charset val="204"/>
    </font>
    <font>
      <b/>
      <sz val="12"/>
      <color theme="1" tint="4.9989318521683403E-2"/>
      <name val="Times New Roman"/>
      <charset val="204"/>
    </font>
    <font>
      <b/>
      <sz val="10"/>
      <color theme="1" tint="4.9989318521683403E-2"/>
      <name val="Times New Roman"/>
      <charset val="204"/>
    </font>
    <font>
      <b/>
      <sz val="18"/>
      <color theme="1" tint="4.9989318521683403E-2"/>
      <name val="Times New Roman"/>
      <charset val="204"/>
    </font>
    <font>
      <b/>
      <sz val="18"/>
      <color theme="1"/>
      <name val="Calibri"/>
      <charset val="204"/>
      <scheme val="minor"/>
    </font>
    <font>
      <b/>
      <sz val="12"/>
      <color theme="1"/>
      <name val="Calibri"/>
      <charset val="204"/>
      <scheme val="minor"/>
    </font>
    <font>
      <sz val="10"/>
      <name val="Arial"/>
      <charset val="204"/>
    </font>
    <font>
      <b/>
      <sz val="10"/>
      <name val="Arial"/>
      <charset val="204"/>
    </font>
    <font>
      <sz val="10"/>
      <color indexed="63"/>
      <name val="Arial"/>
      <charset val="204"/>
    </font>
    <font>
      <b/>
      <sz val="10"/>
      <name val="Century Gothic"/>
      <charset val="204"/>
    </font>
    <font>
      <b/>
      <sz val="14"/>
      <name val="Century Gothic"/>
      <charset val="204"/>
    </font>
    <font>
      <b/>
      <sz val="12"/>
      <name val="Century Gothic"/>
      <charset val="204"/>
    </font>
    <font>
      <b/>
      <sz val="20"/>
      <name val="Arial"/>
      <charset val="204"/>
    </font>
    <font>
      <sz val="14"/>
      <name val="Century Gothic"/>
      <charset val="204"/>
    </font>
    <font>
      <sz val="10"/>
      <name val="Century Gothic"/>
      <charset val="204"/>
    </font>
    <font>
      <sz val="20"/>
      <name val="Century Gothic"/>
      <charset val="204"/>
    </font>
    <font>
      <sz val="14"/>
      <name val="Arial"/>
      <charset val="204"/>
    </font>
    <font>
      <sz val="11"/>
      <color theme="1"/>
      <name val="Calibri"/>
      <charset val="204"/>
      <scheme val="minor"/>
    </font>
    <font>
      <sz val="10"/>
      <color indexed="8"/>
      <name val="Arial"/>
      <charset val="204"/>
    </font>
    <font>
      <sz val="10"/>
      <name val="Arial"/>
      <charset val="134"/>
    </font>
    <font>
      <b/>
      <sz val="14"/>
      <color theme="1"/>
      <name val="Times New Roman"/>
      <family val="1"/>
      <charset val="204"/>
    </font>
    <font>
      <b/>
      <sz val="18"/>
      <color theme="1"/>
      <name val="Times New Roman"/>
      <family val="1"/>
      <charset val="204"/>
    </font>
    <font>
      <b/>
      <sz val="20"/>
      <color theme="1"/>
      <name val="Times New Roman"/>
      <family val="1"/>
      <charset val="204"/>
    </font>
    <font>
      <b/>
      <sz val="12"/>
      <color theme="1" tint="4.9989318521683403E-2"/>
      <name val="Times New Roman"/>
      <family val="1"/>
      <charset val="204"/>
    </font>
    <font>
      <b/>
      <sz val="20"/>
      <color theme="1" tint="4.9989318521683403E-2"/>
      <name val="Times New Roman"/>
      <family val="1"/>
      <charset val="204"/>
    </font>
    <font>
      <b/>
      <sz val="18"/>
      <color theme="1" tint="4.9989318521683403E-2"/>
      <name val="Times New Roman"/>
      <family val="1"/>
      <charset val="204"/>
    </font>
    <font>
      <b/>
      <sz val="22"/>
      <color theme="1" tint="4.9989318521683403E-2"/>
      <name val="Times New Roman"/>
      <family val="1"/>
      <charset val="204"/>
    </font>
    <font>
      <b/>
      <sz val="24"/>
      <color theme="1"/>
      <name val="Aharoni"/>
    </font>
  </fonts>
  <fills count="12">
    <fill>
      <patternFill patternType="none"/>
    </fill>
    <fill>
      <patternFill patternType="gray125"/>
    </fill>
    <fill>
      <patternFill patternType="solid">
        <fgColor theme="1" tint="4.9989318521683403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rgb="FFFF9999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double">
        <color auto="1"/>
      </bottom>
      <diagonal/>
    </border>
  </borders>
  <cellStyleXfs count="5">
    <xf numFmtId="0" fontId="0" fillId="0" borderId="0"/>
    <xf numFmtId="0" fontId="24" fillId="0" borderId="0"/>
    <xf numFmtId="0" fontId="11" fillId="0" borderId="0"/>
    <xf numFmtId="0" fontId="22" fillId="0" borderId="0"/>
    <xf numFmtId="0" fontId="11" fillId="0" borderId="0"/>
  </cellStyleXfs>
  <cellXfs count="81">
    <xf numFmtId="0" fontId="0" fillId="0" borderId="0" xfId="0"/>
    <xf numFmtId="164" fontId="0" fillId="0" borderId="0" xfId="0" applyNumberFormat="1" applyAlignment="1">
      <alignment horizontal="left"/>
    </xf>
    <xf numFmtId="164" fontId="1" fillId="2" borderId="1" xfId="0" applyNumberFormat="1" applyFont="1" applyFill="1" applyBorder="1" applyAlignment="1">
      <alignment horizontal="left"/>
    </xf>
    <xf numFmtId="0" fontId="0" fillId="3" borderId="0" xfId="0" applyFill="1"/>
    <xf numFmtId="0" fontId="0" fillId="0" borderId="0" xfId="0" applyAlignment="1">
      <alignment horizontal="left"/>
    </xf>
    <xf numFmtId="0" fontId="1" fillId="0" borderId="0" xfId="0" applyFont="1"/>
    <xf numFmtId="1" fontId="4" fillId="5" borderId="1" xfId="0" applyNumberFormat="1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1" fontId="8" fillId="8" borderId="1" xfId="0" applyNumberFormat="1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/>
    </xf>
    <xf numFmtId="0" fontId="10" fillId="0" borderId="0" xfId="0" applyFont="1" applyAlignment="1">
      <alignment horizontal="center"/>
    </xf>
    <xf numFmtId="0" fontId="12" fillId="0" borderId="0" xfId="1" applyFont="1" applyAlignment="1">
      <alignment horizontal="center"/>
    </xf>
    <xf numFmtId="0" fontId="12" fillId="0" borderId="0" xfId="1" applyFont="1"/>
    <xf numFmtId="0" fontId="12" fillId="0" borderId="0" xfId="1" applyFont="1" applyAlignment="1">
      <alignment horizontal="center" vertical="center"/>
    </xf>
    <xf numFmtId="0" fontId="12" fillId="0" borderId="5" xfId="1" applyFont="1" applyBorder="1" applyAlignment="1">
      <alignment horizontal="center"/>
    </xf>
    <xf numFmtId="0" fontId="14" fillId="0" borderId="0" xfId="1" applyFont="1" applyAlignment="1">
      <alignment horizontal="center"/>
    </xf>
    <xf numFmtId="0" fontId="16" fillId="0" borderId="0" xfId="1" applyFont="1" applyAlignment="1">
      <alignment horizontal="center" vertical="center" wrapText="1"/>
    </xf>
    <xf numFmtId="0" fontId="18" fillId="0" borderId="1" xfId="1" applyFont="1" applyBorder="1" applyAlignment="1">
      <alignment horizontal="center" vertical="center" wrapText="1"/>
    </xf>
    <xf numFmtId="0" fontId="19" fillId="0" borderId="1" xfId="1" applyFont="1" applyBorder="1" applyAlignment="1">
      <alignment horizontal="center" vertical="center" wrapText="1"/>
    </xf>
    <xf numFmtId="0" fontId="20" fillId="0" borderId="0" xfId="1" applyFont="1" applyAlignment="1">
      <alignment horizontal="center" vertical="center"/>
    </xf>
    <xf numFmtId="0" fontId="21" fillId="0" borderId="1" xfId="1" applyFont="1" applyBorder="1" applyAlignment="1">
      <alignment horizontal="center" vertical="center" wrapText="1"/>
    </xf>
    <xf numFmtId="0" fontId="21" fillId="0" borderId="1" xfId="1" applyFont="1" applyBorder="1" applyAlignment="1">
      <alignment horizontal="center" vertical="center"/>
    </xf>
    <xf numFmtId="0" fontId="21" fillId="0" borderId="1" xfId="1" applyFont="1" applyBorder="1" applyAlignment="1">
      <alignment horizontal="center"/>
    </xf>
    <xf numFmtId="0" fontId="21" fillId="0" borderId="1" xfId="2" applyFont="1" applyBorder="1" applyAlignment="1">
      <alignment horizontal="center" vertical="center" wrapText="1"/>
    </xf>
    <xf numFmtId="0" fontId="21" fillId="0" borderId="1" xfId="2" applyFont="1" applyBorder="1" applyAlignment="1">
      <alignment horizontal="center" vertical="center"/>
    </xf>
    <xf numFmtId="1" fontId="4" fillId="5" borderId="1" xfId="0" applyNumberFormat="1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center" vertical="center"/>
    </xf>
    <xf numFmtId="1" fontId="8" fillId="10" borderId="1" xfId="0" applyNumberFormat="1" applyFont="1" applyFill="1" applyBorder="1" applyAlignment="1">
      <alignment horizontal="center" vertical="center" wrapText="1"/>
    </xf>
    <xf numFmtId="0" fontId="14" fillId="0" borderId="0" xfId="0" applyFont="1" applyAlignment="1">
      <alignment horizontal="center"/>
    </xf>
    <xf numFmtId="0" fontId="13" fillId="0" borderId="5" xfId="1" applyFont="1" applyBorder="1" applyAlignment="1">
      <alignment horizontal="left" vertical="top" wrapText="1"/>
    </xf>
    <xf numFmtId="0" fontId="15" fillId="0" borderId="0" xfId="1" applyFont="1" applyAlignment="1">
      <alignment horizontal="center" vertical="center" wrapText="1"/>
    </xf>
    <xf numFmtId="0" fontId="17" fillId="0" borderId="0" xfId="1" applyFont="1" applyAlignment="1">
      <alignment horizontal="center" vertical="center" wrapText="1"/>
    </xf>
    <xf numFmtId="0" fontId="14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5" borderId="3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1" fontId="4" fillId="5" borderId="1" xfId="0" applyNumberFormat="1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7" borderId="3" xfId="0" applyFont="1" applyFill="1" applyBorder="1" applyAlignment="1">
      <alignment horizontal="center" vertical="center" wrapText="1"/>
    </xf>
    <xf numFmtId="0" fontId="5" fillId="7" borderId="4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6" fillId="8" borderId="3" xfId="0" applyFont="1" applyFill="1" applyBorder="1" applyAlignment="1">
      <alignment horizontal="center" vertical="center" wrapText="1"/>
    </xf>
    <xf numFmtId="0" fontId="6" fillId="8" borderId="4" xfId="0" applyFont="1" applyFill="1" applyBorder="1" applyAlignment="1">
      <alignment horizontal="center" vertical="center" wrapText="1"/>
    </xf>
    <xf numFmtId="1" fontId="8" fillId="8" borderId="2" xfId="0" applyNumberFormat="1" applyFont="1" applyFill="1" applyBorder="1" applyAlignment="1">
      <alignment horizontal="center" vertical="center" wrapText="1"/>
    </xf>
    <xf numFmtId="1" fontId="8" fillId="8" borderId="3" xfId="0" applyNumberFormat="1" applyFont="1" applyFill="1" applyBorder="1" applyAlignment="1">
      <alignment horizontal="center" vertical="center" wrapText="1"/>
    </xf>
    <xf numFmtId="1" fontId="8" fillId="8" borderId="4" xfId="0" applyNumberFormat="1" applyFont="1" applyFill="1" applyBorder="1" applyAlignment="1">
      <alignment horizontal="center" vertical="center" wrapText="1"/>
    </xf>
    <xf numFmtId="0" fontId="6" fillId="11" borderId="1" xfId="0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center" vertical="center" wrapText="1"/>
    </xf>
    <xf numFmtId="0" fontId="6" fillId="10" borderId="1" xfId="0" applyFont="1" applyFill="1" applyBorder="1" applyAlignment="1">
      <alignment horizontal="center" vertical="center" wrapText="1"/>
    </xf>
    <xf numFmtId="1" fontId="8" fillId="10" borderId="1" xfId="0" applyNumberFormat="1" applyFont="1" applyFill="1" applyBorder="1" applyAlignment="1">
      <alignment horizontal="center" vertical="center" wrapText="1"/>
    </xf>
    <xf numFmtId="0" fontId="6" fillId="9" borderId="3" xfId="0" applyFont="1" applyFill="1" applyBorder="1" applyAlignment="1">
      <alignment horizontal="center" vertical="center" wrapText="1"/>
    </xf>
    <xf numFmtId="0" fontId="6" fillId="9" borderId="4" xfId="0" applyFont="1" applyFill="1" applyBorder="1" applyAlignment="1">
      <alignment horizontal="center" vertical="center" wrapText="1"/>
    </xf>
    <xf numFmtId="0" fontId="4" fillId="9" borderId="2" xfId="0" applyFont="1" applyFill="1" applyBorder="1" applyAlignment="1">
      <alignment horizontal="center" vertical="center" wrapText="1"/>
    </xf>
    <xf numFmtId="0" fontId="4" fillId="9" borderId="3" xfId="0" applyFont="1" applyFill="1" applyBorder="1" applyAlignment="1">
      <alignment horizontal="center" vertical="center" wrapText="1"/>
    </xf>
    <xf numFmtId="0" fontId="4" fillId="9" borderId="4" xfId="0" applyFont="1" applyFill="1" applyBorder="1" applyAlignment="1">
      <alignment horizontal="center" vertical="center" wrapText="1"/>
    </xf>
    <xf numFmtId="0" fontId="7" fillId="7" borderId="3" xfId="0" applyFont="1" applyFill="1" applyBorder="1" applyAlignment="1">
      <alignment horizontal="center" vertical="center" wrapText="1"/>
    </xf>
    <xf numFmtId="0" fontId="7" fillId="7" borderId="4" xfId="0" applyFont="1" applyFill="1" applyBorder="1" applyAlignment="1">
      <alignment horizontal="center" vertical="center" wrapText="1"/>
    </xf>
    <xf numFmtId="0" fontId="8" fillId="7" borderId="2" xfId="0" applyFont="1" applyFill="1" applyBorder="1" applyAlignment="1">
      <alignment horizontal="center" vertical="center" wrapText="1"/>
    </xf>
    <xf numFmtId="0" fontId="8" fillId="7" borderId="3" xfId="0" applyFont="1" applyFill="1" applyBorder="1" applyAlignment="1">
      <alignment horizontal="center" vertical="center" wrapText="1"/>
    </xf>
    <xf numFmtId="0" fontId="8" fillId="7" borderId="4" xfId="0" applyFont="1" applyFill="1" applyBorder="1" applyAlignment="1">
      <alignment horizontal="center" vertical="center" wrapText="1"/>
    </xf>
    <xf numFmtId="0" fontId="29" fillId="10" borderId="1" xfId="0" applyFont="1" applyFill="1" applyBorder="1" applyAlignment="1">
      <alignment horizontal="center" vertical="center" wrapText="1"/>
    </xf>
    <xf numFmtId="0" fontId="28" fillId="11" borderId="1" xfId="0" applyFont="1" applyFill="1" applyBorder="1" applyAlignment="1">
      <alignment horizontal="center" vertical="center" wrapText="1"/>
    </xf>
    <xf numFmtId="0" fontId="32" fillId="0" borderId="0" xfId="0" applyFont="1" applyAlignment="1">
      <alignment horizontal="center"/>
    </xf>
    <xf numFmtId="0" fontId="25" fillId="5" borderId="3" xfId="0" applyFont="1" applyFill="1" applyBorder="1" applyAlignment="1">
      <alignment horizontal="center" vertical="center" wrapText="1"/>
    </xf>
    <xf numFmtId="0" fontId="25" fillId="6" borderId="3" xfId="0" applyFont="1" applyFill="1" applyBorder="1" applyAlignment="1">
      <alignment horizontal="center" vertical="center" wrapText="1"/>
    </xf>
    <xf numFmtId="0" fontId="30" fillId="8" borderId="3" xfId="0" applyFont="1" applyFill="1" applyBorder="1" applyAlignment="1">
      <alignment horizontal="center" vertical="center" wrapText="1"/>
    </xf>
    <xf numFmtId="0" fontId="28" fillId="9" borderId="3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4" fillId="6" borderId="3" xfId="0" applyFont="1" applyFill="1" applyBorder="1" applyAlignment="1">
      <alignment horizontal="center" vertical="center" wrapText="1"/>
    </xf>
    <xf numFmtId="0" fontId="4" fillId="6" borderId="4" xfId="0" applyFont="1" applyFill="1" applyBorder="1" applyAlignment="1">
      <alignment horizontal="center" vertical="center" wrapText="1"/>
    </xf>
    <xf numFmtId="0" fontId="9" fillId="9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14" fillId="0" borderId="0" xfId="0" applyFont="1" applyAlignment="1"/>
  </cellXfs>
  <cellStyles count="5">
    <cellStyle name="Обычный" xfId="0" builtinId="0"/>
    <cellStyle name="Обычный 2" xfId="1" xr:uid="{00000000-0005-0000-0000-000031000000}"/>
    <cellStyle name="Обычный 2 2" xfId="2" xr:uid="{00000000-0005-0000-0000-000032000000}"/>
    <cellStyle name="Обычный 3" xfId="3" xr:uid="{00000000-0005-0000-0000-000033000000}"/>
    <cellStyle name="Обычный 5" xfId="4" xr:uid="{00000000-0005-0000-0000-000034000000}"/>
  </cellStyles>
  <dxfs count="0"/>
  <tableStyles count="0" defaultTableStyle="TableStyleMedium9" defaultPivotStyle="PivotStyleLight16"/>
  <colors>
    <mruColors>
      <color rgb="FFFF9999"/>
      <color rgb="FFFF7C80"/>
      <color rgb="FF9966FF"/>
      <color rgb="FFFFFF99"/>
      <color rgb="FFFF5050"/>
      <color rgb="FFFFCC00"/>
      <color rgb="FFFF9900"/>
      <color rgb="FFFA300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w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0</xdr:row>
      <xdr:rowOff>171450</xdr:rowOff>
    </xdr:from>
    <xdr:to>
      <xdr:col>2</xdr:col>
      <xdr:colOff>0</xdr:colOff>
      <xdr:row>1</xdr:row>
      <xdr:rowOff>676275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734050" y="171450"/>
          <a:ext cx="0" cy="695325"/>
        </a:xfrm>
        <a:prstGeom prst="rect">
          <a:avLst/>
        </a:prstGeom>
        <a:noFill/>
        <a:ln w="9525" algn="in">
          <a:noFill/>
          <a:miter lim="800000"/>
          <a:headEnd/>
          <a:tailEnd/>
        </a:ln>
      </xdr:spPr>
    </xdr:pic>
    <xdr:clientData/>
  </xdr:twoCellAnchor>
  <xdr:twoCellAnchor>
    <xdr:from>
      <xdr:col>2</xdr:col>
      <xdr:colOff>0</xdr:colOff>
      <xdr:row>2</xdr:row>
      <xdr:rowOff>0</xdr:rowOff>
    </xdr:from>
    <xdr:to>
      <xdr:col>2</xdr:col>
      <xdr:colOff>0</xdr:colOff>
      <xdr:row>2</xdr:row>
      <xdr:rowOff>523875</xdr:rowOff>
    </xdr:to>
    <xdr:sp macro="" textlink="">
      <xdr:nvSpPr>
        <xdr:cNvPr id="3" name="Rectangle 8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>
          <a:spLocks noChangeArrowheads="1"/>
        </xdr:cNvSpPr>
      </xdr:nvSpPr>
      <xdr:spPr>
        <a:xfrm>
          <a:off x="5734050" y="1009650"/>
          <a:ext cx="0" cy="523875"/>
        </a:xfrm>
        <a:prstGeom prst="rect">
          <a:avLst/>
        </a:prstGeom>
        <a:solidFill>
          <a:srgbClr val="FFFFFF"/>
        </a:solidFill>
        <a:ln w="9525">
          <a:noFill/>
          <a:miter lim="800000"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" panose="020B0604020202020204"/>
            <a:cs typeface="Arial" panose="020B0604020202020204"/>
          </a:endParaRPr>
        </a:p>
        <a:p>
          <a:pPr algn="l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" panose="020B0604020202020204"/>
              <a:cs typeface="Arial" panose="020B0604020202020204"/>
            </a:rPr>
            <a:t>"</a:t>
          </a:r>
          <a:r>
            <a:rPr lang="ru-RU" sz="1200" b="0" i="0" u="none" strike="noStrike" baseline="0">
              <a:solidFill>
                <a:srgbClr val="000000"/>
              </a:solidFill>
              <a:latin typeface="Arial" panose="020B0604020202020204"/>
              <a:cs typeface="Arial" panose="020B0604020202020204"/>
            </a:rPr>
            <a:t>Утверждаю"______________</a:t>
          </a:r>
        </a:p>
      </xdr:txBody>
    </xdr:sp>
    <xdr:clientData/>
  </xdr:twoCellAnchor>
  <xdr:twoCellAnchor>
    <xdr:from>
      <xdr:col>1</xdr:col>
      <xdr:colOff>986117</xdr:colOff>
      <xdr:row>2</xdr:row>
      <xdr:rowOff>22412</xdr:rowOff>
    </xdr:from>
    <xdr:to>
      <xdr:col>1</xdr:col>
      <xdr:colOff>3443007</xdr:colOff>
      <xdr:row>3</xdr:row>
      <xdr:rowOff>0</xdr:rowOff>
    </xdr:to>
    <xdr:sp macro="" textlink="">
      <xdr:nvSpPr>
        <xdr:cNvPr id="4" name="Rectangle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>
        <a:xfrm>
          <a:off x="3204845" y="1031875"/>
          <a:ext cx="2457450" cy="663575"/>
        </a:xfrm>
        <a:prstGeom prst="rect">
          <a:avLst/>
        </a:prstGeom>
        <a:solidFill>
          <a:srgbClr val="FFFFFF"/>
        </a:solidFill>
        <a:ln w="9525">
          <a:noFill/>
          <a:miter lim="800000"/>
        </a:ln>
      </xdr:spPr>
      <xdr:txBody>
        <a:bodyPr vertOverflow="clip" wrap="square" lIns="27432" tIns="22860" rIns="0" bIns="0" anchor="t" upright="1"/>
        <a:lstStyle/>
        <a:p>
          <a:pPr algn="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" panose="020B0604020202020204"/>
            <a:cs typeface="Arial" panose="020B0604020202020204"/>
          </a:endParaRPr>
        </a:p>
        <a:p>
          <a:pPr algn="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" panose="020B0604020202020204"/>
              <a:cs typeface="Arial" panose="020B0604020202020204"/>
            </a:rPr>
            <a:t>                                         "</a:t>
          </a:r>
          <a:r>
            <a:rPr lang="ru-RU" sz="1200" b="0" i="0" u="none" strike="noStrike" baseline="0">
              <a:solidFill>
                <a:srgbClr val="000000"/>
              </a:solidFill>
              <a:latin typeface="Arial" panose="020B0604020202020204"/>
              <a:cs typeface="Arial" panose="020B0604020202020204"/>
            </a:rPr>
            <a:t>Утверждаю"______________</a:t>
          </a:r>
        </a:p>
      </xdr:txBody>
    </xdr:sp>
    <xdr:clientData/>
  </xdr:twoCellAnchor>
  <xdr:twoCellAnchor>
    <xdr:from>
      <xdr:col>1</xdr:col>
      <xdr:colOff>914400</xdr:colOff>
      <xdr:row>1</xdr:row>
      <xdr:rowOff>66675</xdr:rowOff>
    </xdr:from>
    <xdr:to>
      <xdr:col>1</xdr:col>
      <xdr:colOff>2876550</xdr:colOff>
      <xdr:row>1</xdr:row>
      <xdr:rowOff>733425</xdr:rowOff>
    </xdr:to>
    <xdr:pic>
      <xdr:nvPicPr>
        <xdr:cNvPr id="5" name="Рисунок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17361" t="24684" r="17209" b="32283"/>
        <a:stretch>
          <a:fillRect/>
        </a:stretch>
      </xdr:blipFill>
      <xdr:spPr>
        <a:xfrm>
          <a:off x="3133725" y="257175"/>
          <a:ext cx="1962150" cy="666750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0</xdr:row>
      <xdr:rowOff>0</xdr:rowOff>
    </xdr:from>
    <xdr:to>
      <xdr:col>10</xdr:col>
      <xdr:colOff>454152</xdr:colOff>
      <xdr:row>0</xdr:row>
      <xdr:rowOff>1</xdr:rowOff>
    </xdr:to>
    <xdr:pic>
      <xdr:nvPicPr>
        <xdr:cNvPr id="2" name="Рисунок 1" descr="логотип.jp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57975" y="0"/>
          <a:ext cx="2997327" cy="1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0</xdr:row>
      <xdr:rowOff>28576</xdr:rowOff>
    </xdr:from>
    <xdr:to>
      <xdr:col>7</xdr:col>
      <xdr:colOff>254127</xdr:colOff>
      <xdr:row>0</xdr:row>
      <xdr:rowOff>28577</xdr:rowOff>
    </xdr:to>
    <xdr:pic>
      <xdr:nvPicPr>
        <xdr:cNvPr id="6" name="Рисунок 5" descr="логотип.jpg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695950" y="28575"/>
          <a:ext cx="2082800" cy="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5</xdr:row>
      <xdr:rowOff>0</xdr:rowOff>
    </xdr:from>
    <xdr:to>
      <xdr:col>7</xdr:col>
      <xdr:colOff>0</xdr:colOff>
      <xdr:row>5</xdr:row>
      <xdr:rowOff>0</xdr:rowOff>
    </xdr:to>
    <xdr:cxnSp macro="">
      <xdr:nvCxnSpPr>
        <xdr:cNvPr id="7" name="Прямая соединительная линия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CxnSpPr/>
      </xdr:nvCxnSpPr>
      <xdr:spPr>
        <a:xfrm>
          <a:off x="38100" y="742950"/>
          <a:ext cx="7715250" cy="0"/>
        </a:xfrm>
        <a:prstGeom prst="line">
          <a:avLst/>
        </a:prstGeom>
      </xdr:spPr>
      <xdr:style>
        <a:lnRef idx="2">
          <a:schemeClr val="accent3"/>
        </a:lnRef>
        <a:fillRef idx="0">
          <a:schemeClr val="accent3"/>
        </a:fillRef>
        <a:effectRef idx="1">
          <a:schemeClr val="accent3"/>
        </a:effectRef>
        <a:fontRef idx="minor">
          <a:schemeClr val="tx1"/>
        </a:fontRef>
      </xdr:style>
    </xdr:cxnSp>
    <xdr:clientData/>
  </xdr:twoCellAnchor>
  <xdr:oneCellAnchor>
    <xdr:from>
      <xdr:col>7</xdr:col>
      <xdr:colOff>0</xdr:colOff>
      <xdr:row>16</xdr:row>
      <xdr:rowOff>66675</xdr:rowOff>
    </xdr:from>
    <xdr:ext cx="184731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 txBox="1"/>
      </xdr:nvSpPr>
      <xdr:spPr>
        <a:xfrm>
          <a:off x="7753350" y="340995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666750</xdr:colOff>
      <xdr:row>16</xdr:row>
      <xdr:rowOff>66675</xdr:rowOff>
    </xdr:from>
    <xdr:ext cx="184731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 txBox="1"/>
      </xdr:nvSpPr>
      <xdr:spPr>
        <a:xfrm>
          <a:off x="5314950" y="340995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twoCellAnchor editAs="oneCell">
    <xdr:from>
      <xdr:col>4</xdr:col>
      <xdr:colOff>0</xdr:colOff>
      <xdr:row>0</xdr:row>
      <xdr:rowOff>28576</xdr:rowOff>
    </xdr:from>
    <xdr:to>
      <xdr:col>7</xdr:col>
      <xdr:colOff>254127</xdr:colOff>
      <xdr:row>0</xdr:row>
      <xdr:rowOff>28577</xdr:rowOff>
    </xdr:to>
    <xdr:pic>
      <xdr:nvPicPr>
        <xdr:cNvPr id="12" name="Рисунок 11" descr="логотип.jpg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648200" y="28575"/>
          <a:ext cx="2082800" cy="0"/>
        </a:xfrm>
        <a:prstGeom prst="rect">
          <a:avLst/>
        </a:prstGeom>
      </xdr:spPr>
    </xdr:pic>
    <xdr:clientData/>
  </xdr:twoCellAnchor>
  <xdr:oneCellAnchor>
    <xdr:from>
      <xdr:col>4</xdr:col>
      <xdr:colOff>0</xdr:colOff>
      <xdr:row>16</xdr:row>
      <xdr:rowOff>66675</xdr:rowOff>
    </xdr:from>
    <xdr:ext cx="184731" cy="26456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SpPr txBox="1"/>
      </xdr:nvSpPr>
      <xdr:spPr>
        <a:xfrm>
          <a:off x="4648200" y="340995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6</xdr:col>
      <xdr:colOff>0</xdr:colOff>
      <xdr:row>16</xdr:row>
      <xdr:rowOff>66675</xdr:rowOff>
    </xdr:from>
    <xdr:ext cx="184731" cy="26456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SpPr txBox="1"/>
      </xdr:nvSpPr>
      <xdr:spPr>
        <a:xfrm>
          <a:off x="6724650" y="340995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16</xdr:row>
      <xdr:rowOff>66675</xdr:rowOff>
    </xdr:from>
    <xdr:ext cx="184731" cy="264560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SpPr txBox="1"/>
      </xdr:nvSpPr>
      <xdr:spPr>
        <a:xfrm>
          <a:off x="4648200" y="340995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2</xdr:col>
      <xdr:colOff>666750</xdr:colOff>
      <xdr:row>16</xdr:row>
      <xdr:rowOff>66675</xdr:rowOff>
    </xdr:from>
    <xdr:ext cx="184731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SpPr txBox="1"/>
      </xdr:nvSpPr>
      <xdr:spPr>
        <a:xfrm>
          <a:off x="2647950" y="340995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3</xdr:col>
      <xdr:colOff>666750</xdr:colOff>
      <xdr:row>16</xdr:row>
      <xdr:rowOff>66675</xdr:rowOff>
    </xdr:from>
    <xdr:ext cx="184731" cy="26456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SpPr txBox="1"/>
      </xdr:nvSpPr>
      <xdr:spPr>
        <a:xfrm>
          <a:off x="3981450" y="340995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6</xdr:col>
      <xdr:colOff>0</xdr:colOff>
      <xdr:row>16</xdr:row>
      <xdr:rowOff>66675</xdr:rowOff>
    </xdr:from>
    <xdr:ext cx="184731" cy="264560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SpPr txBox="1"/>
      </xdr:nvSpPr>
      <xdr:spPr>
        <a:xfrm>
          <a:off x="6724650" y="340995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5</xdr:col>
      <xdr:colOff>0</xdr:colOff>
      <xdr:row>16</xdr:row>
      <xdr:rowOff>66675</xdr:rowOff>
    </xdr:from>
    <xdr:ext cx="184731" cy="264560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SpPr txBox="1"/>
      </xdr:nvSpPr>
      <xdr:spPr>
        <a:xfrm>
          <a:off x="5695950" y="340995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6</xdr:col>
      <xdr:colOff>0</xdr:colOff>
      <xdr:row>16</xdr:row>
      <xdr:rowOff>66675</xdr:rowOff>
    </xdr:from>
    <xdr:ext cx="184731" cy="264560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SpPr txBox="1"/>
      </xdr:nvSpPr>
      <xdr:spPr>
        <a:xfrm>
          <a:off x="6724650" y="340995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7</xdr:col>
      <xdr:colOff>666750</xdr:colOff>
      <xdr:row>16</xdr:row>
      <xdr:rowOff>66675</xdr:rowOff>
    </xdr:from>
    <xdr:ext cx="184731" cy="264560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7291719D-FD4A-4FCA-B14E-A62CAB721958}"/>
            </a:ext>
          </a:extLst>
        </xdr:cNvPr>
        <xdr:cNvSpPr txBox="1"/>
      </xdr:nvSpPr>
      <xdr:spPr>
        <a:xfrm>
          <a:off x="4305300" y="3429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7</xdr:col>
      <xdr:colOff>0</xdr:colOff>
      <xdr:row>16</xdr:row>
      <xdr:rowOff>66675</xdr:rowOff>
    </xdr:from>
    <xdr:ext cx="184731" cy="264560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1AED067B-DAB0-47FB-B880-75611469103A}"/>
            </a:ext>
          </a:extLst>
        </xdr:cNvPr>
        <xdr:cNvSpPr txBox="1"/>
      </xdr:nvSpPr>
      <xdr:spPr>
        <a:xfrm>
          <a:off x="4305300" y="3429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7</xdr:col>
      <xdr:colOff>0</xdr:colOff>
      <xdr:row>16</xdr:row>
      <xdr:rowOff>66675</xdr:rowOff>
    </xdr:from>
    <xdr:ext cx="184731" cy="264560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37E8A104-DF0B-4867-BCA3-8367A4F5CD51}"/>
            </a:ext>
          </a:extLst>
        </xdr:cNvPr>
        <xdr:cNvSpPr txBox="1"/>
      </xdr:nvSpPr>
      <xdr:spPr>
        <a:xfrm>
          <a:off x="4305300" y="3429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0</xdr:colOff>
      <xdr:row>16</xdr:row>
      <xdr:rowOff>66675</xdr:rowOff>
    </xdr:from>
    <xdr:ext cx="184731" cy="264560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E13F25C8-F3DD-4E22-A1AA-0375C261B514}"/>
            </a:ext>
          </a:extLst>
        </xdr:cNvPr>
        <xdr:cNvSpPr txBox="1"/>
      </xdr:nvSpPr>
      <xdr:spPr>
        <a:xfrm>
          <a:off x="4305300" y="3429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9</xdr:col>
      <xdr:colOff>0</xdr:colOff>
      <xdr:row>16</xdr:row>
      <xdr:rowOff>66675</xdr:rowOff>
    </xdr:from>
    <xdr:ext cx="184731" cy="264560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97ECCE35-4EB5-47EA-AF5F-CB2C746257E7}"/>
            </a:ext>
          </a:extLst>
        </xdr:cNvPr>
        <xdr:cNvSpPr txBox="1"/>
      </xdr:nvSpPr>
      <xdr:spPr>
        <a:xfrm>
          <a:off x="5334000" y="3429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9</xdr:col>
      <xdr:colOff>0</xdr:colOff>
      <xdr:row>16</xdr:row>
      <xdr:rowOff>66675</xdr:rowOff>
    </xdr:from>
    <xdr:ext cx="184731" cy="264560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A86A0B22-F479-4B03-BAFA-F748E91FB24C}"/>
            </a:ext>
          </a:extLst>
        </xdr:cNvPr>
        <xdr:cNvSpPr txBox="1"/>
      </xdr:nvSpPr>
      <xdr:spPr>
        <a:xfrm>
          <a:off x="5334000" y="3429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9</xdr:col>
      <xdr:colOff>0</xdr:colOff>
      <xdr:row>16</xdr:row>
      <xdr:rowOff>66675</xdr:rowOff>
    </xdr:from>
    <xdr:ext cx="184731" cy="264560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752A6CA2-655E-4567-A70C-654EC9378A16}"/>
            </a:ext>
          </a:extLst>
        </xdr:cNvPr>
        <xdr:cNvSpPr txBox="1"/>
      </xdr:nvSpPr>
      <xdr:spPr>
        <a:xfrm>
          <a:off x="5334000" y="3429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0</xdr:row>
      <xdr:rowOff>0</xdr:rowOff>
    </xdr:from>
    <xdr:to>
      <xdr:col>10</xdr:col>
      <xdr:colOff>416052</xdr:colOff>
      <xdr:row>0</xdr:row>
      <xdr:rowOff>1</xdr:rowOff>
    </xdr:to>
    <xdr:pic>
      <xdr:nvPicPr>
        <xdr:cNvPr id="2" name="Рисунок 1" descr="логотип.jpg">
          <a:extLst>
            <a:ext uri="{FF2B5EF4-FFF2-40B4-BE49-F238E27FC236}">
              <a16:creationId xmlns:a16="http://schemas.microsoft.com/office/drawing/2014/main" id="{BD434699-55C4-4935-B2E3-B4DFB1C953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048375" y="0"/>
          <a:ext cx="2997327" cy="1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0</xdr:row>
      <xdr:rowOff>28576</xdr:rowOff>
    </xdr:from>
    <xdr:to>
      <xdr:col>7</xdr:col>
      <xdr:colOff>225552</xdr:colOff>
      <xdr:row>0</xdr:row>
      <xdr:rowOff>28577</xdr:rowOff>
    </xdr:to>
    <xdr:pic>
      <xdr:nvPicPr>
        <xdr:cNvPr id="3" name="Рисунок 2" descr="логотип.jpg">
          <a:extLst>
            <a:ext uri="{FF2B5EF4-FFF2-40B4-BE49-F238E27FC236}">
              <a16:creationId xmlns:a16="http://schemas.microsoft.com/office/drawing/2014/main" id="{6A762942-391D-4D03-9DB3-6C3611B61D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219575" y="28576"/>
          <a:ext cx="2082927" cy="1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5</xdr:row>
      <xdr:rowOff>0</xdr:rowOff>
    </xdr:from>
    <xdr:to>
      <xdr:col>7</xdr:col>
      <xdr:colOff>0</xdr:colOff>
      <xdr:row>5</xdr:row>
      <xdr:rowOff>0</xdr:rowOff>
    </xdr:to>
    <xdr:cxnSp macro="">
      <xdr:nvCxnSpPr>
        <xdr:cNvPr id="4" name="Прямая соединительная линия 3">
          <a:extLst>
            <a:ext uri="{FF2B5EF4-FFF2-40B4-BE49-F238E27FC236}">
              <a16:creationId xmlns:a16="http://schemas.microsoft.com/office/drawing/2014/main" id="{F0252F7F-E930-4A75-85EC-3D1BA083285E}"/>
            </a:ext>
          </a:extLst>
        </xdr:cNvPr>
        <xdr:cNvCxnSpPr/>
      </xdr:nvCxnSpPr>
      <xdr:spPr>
        <a:xfrm>
          <a:off x="38100" y="742950"/>
          <a:ext cx="6010275" cy="0"/>
        </a:xfrm>
        <a:prstGeom prst="line">
          <a:avLst/>
        </a:prstGeom>
      </xdr:spPr>
      <xdr:style>
        <a:lnRef idx="2">
          <a:schemeClr val="accent3"/>
        </a:lnRef>
        <a:fillRef idx="0">
          <a:schemeClr val="accent3"/>
        </a:fillRef>
        <a:effectRef idx="1">
          <a:schemeClr val="accent3"/>
        </a:effectRef>
        <a:fontRef idx="minor">
          <a:schemeClr val="tx1"/>
        </a:fontRef>
      </xdr:style>
    </xdr:cxnSp>
    <xdr:clientData/>
  </xdr:twoCellAnchor>
  <xdr:oneCellAnchor>
    <xdr:from>
      <xdr:col>7</xdr:col>
      <xdr:colOff>0</xdr:colOff>
      <xdr:row>16</xdr:row>
      <xdr:rowOff>66675</xdr:rowOff>
    </xdr:from>
    <xdr:ext cx="184731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7401CE14-11CC-403F-9AD6-4A2914B3D436}"/>
            </a:ext>
          </a:extLst>
        </xdr:cNvPr>
        <xdr:cNvSpPr txBox="1"/>
      </xdr:nvSpPr>
      <xdr:spPr>
        <a:xfrm>
          <a:off x="6048375" y="3429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666750</xdr:colOff>
      <xdr:row>16</xdr:row>
      <xdr:rowOff>66675</xdr:rowOff>
    </xdr:from>
    <xdr:ext cx="184731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4B1DF40A-9C5A-41AF-829A-D1A609239805}"/>
            </a:ext>
          </a:extLst>
        </xdr:cNvPr>
        <xdr:cNvSpPr txBox="1"/>
      </xdr:nvSpPr>
      <xdr:spPr>
        <a:xfrm>
          <a:off x="4219575" y="3429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twoCellAnchor editAs="oneCell">
    <xdr:from>
      <xdr:col>4</xdr:col>
      <xdr:colOff>0</xdr:colOff>
      <xdr:row>0</xdr:row>
      <xdr:rowOff>28576</xdr:rowOff>
    </xdr:from>
    <xdr:to>
      <xdr:col>7</xdr:col>
      <xdr:colOff>225552</xdr:colOff>
      <xdr:row>0</xdr:row>
      <xdr:rowOff>28577</xdr:rowOff>
    </xdr:to>
    <xdr:pic>
      <xdr:nvPicPr>
        <xdr:cNvPr id="7" name="Рисунок 6" descr="логотип.jpg">
          <a:extLst>
            <a:ext uri="{FF2B5EF4-FFF2-40B4-BE49-F238E27FC236}">
              <a16:creationId xmlns:a16="http://schemas.microsoft.com/office/drawing/2014/main" id="{EFDC5DC8-E209-49BF-BF73-0F72BB3722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219575" y="28576"/>
          <a:ext cx="2082927" cy="1"/>
        </a:xfrm>
        <a:prstGeom prst="rect">
          <a:avLst/>
        </a:prstGeom>
      </xdr:spPr>
    </xdr:pic>
    <xdr:clientData/>
  </xdr:twoCellAnchor>
  <xdr:oneCellAnchor>
    <xdr:from>
      <xdr:col>4</xdr:col>
      <xdr:colOff>0</xdr:colOff>
      <xdr:row>16</xdr:row>
      <xdr:rowOff>66675</xdr:rowOff>
    </xdr:from>
    <xdr:ext cx="184731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3C3A365C-66AB-48B7-80B5-364020DF2B34}"/>
            </a:ext>
          </a:extLst>
        </xdr:cNvPr>
        <xdr:cNvSpPr txBox="1"/>
      </xdr:nvSpPr>
      <xdr:spPr>
        <a:xfrm>
          <a:off x="4219575" y="3429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6</xdr:col>
      <xdr:colOff>0</xdr:colOff>
      <xdr:row>16</xdr:row>
      <xdr:rowOff>66675</xdr:rowOff>
    </xdr:from>
    <xdr:ext cx="184731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8B19206F-C7C3-47DF-BAD3-ECE3081E7FE5}"/>
            </a:ext>
          </a:extLst>
        </xdr:cNvPr>
        <xdr:cNvSpPr txBox="1"/>
      </xdr:nvSpPr>
      <xdr:spPr>
        <a:xfrm>
          <a:off x="5133975" y="3429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16</xdr:row>
      <xdr:rowOff>66675</xdr:rowOff>
    </xdr:from>
    <xdr:ext cx="184731" cy="264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38E92DF3-B6EF-460C-904E-CEE4AA8F42E7}"/>
            </a:ext>
          </a:extLst>
        </xdr:cNvPr>
        <xdr:cNvSpPr txBox="1"/>
      </xdr:nvSpPr>
      <xdr:spPr>
        <a:xfrm>
          <a:off x="4219575" y="3429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2</xdr:col>
      <xdr:colOff>666750</xdr:colOff>
      <xdr:row>16</xdr:row>
      <xdr:rowOff>66675</xdr:rowOff>
    </xdr:from>
    <xdr:ext cx="184731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086AE71-0B22-43ED-A912-65C0BBDCABBF}"/>
            </a:ext>
          </a:extLst>
        </xdr:cNvPr>
        <xdr:cNvSpPr txBox="1"/>
      </xdr:nvSpPr>
      <xdr:spPr>
        <a:xfrm>
          <a:off x="2619375" y="3429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3</xdr:col>
      <xdr:colOff>666750</xdr:colOff>
      <xdr:row>16</xdr:row>
      <xdr:rowOff>66675</xdr:rowOff>
    </xdr:from>
    <xdr:ext cx="184731" cy="26456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C267421E-9F0D-4F19-920F-80DA60D9AC54}"/>
            </a:ext>
          </a:extLst>
        </xdr:cNvPr>
        <xdr:cNvSpPr txBox="1"/>
      </xdr:nvSpPr>
      <xdr:spPr>
        <a:xfrm>
          <a:off x="3771900" y="3429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6</xdr:col>
      <xdr:colOff>0</xdr:colOff>
      <xdr:row>16</xdr:row>
      <xdr:rowOff>66675</xdr:rowOff>
    </xdr:from>
    <xdr:ext cx="184731" cy="26456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BEB814DE-16B4-42EA-902E-C399A876A946}"/>
            </a:ext>
          </a:extLst>
        </xdr:cNvPr>
        <xdr:cNvSpPr txBox="1"/>
      </xdr:nvSpPr>
      <xdr:spPr>
        <a:xfrm>
          <a:off x="5133975" y="3429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5</xdr:col>
      <xdr:colOff>0</xdr:colOff>
      <xdr:row>16</xdr:row>
      <xdr:rowOff>66675</xdr:rowOff>
    </xdr:from>
    <xdr:ext cx="184731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78E4C695-ED63-4498-9CB5-F7CD6E16C30E}"/>
            </a:ext>
          </a:extLst>
        </xdr:cNvPr>
        <xdr:cNvSpPr txBox="1"/>
      </xdr:nvSpPr>
      <xdr:spPr>
        <a:xfrm>
          <a:off x="4219575" y="3429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6</xdr:col>
      <xdr:colOff>0</xdr:colOff>
      <xdr:row>16</xdr:row>
      <xdr:rowOff>66675</xdr:rowOff>
    </xdr:from>
    <xdr:ext cx="184731" cy="26456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B6FBCC01-1458-4790-B28D-3E5D899005FD}"/>
            </a:ext>
          </a:extLst>
        </xdr:cNvPr>
        <xdr:cNvSpPr txBox="1"/>
      </xdr:nvSpPr>
      <xdr:spPr>
        <a:xfrm>
          <a:off x="5133975" y="3429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7</xdr:col>
      <xdr:colOff>666750</xdr:colOff>
      <xdr:row>16</xdr:row>
      <xdr:rowOff>66675</xdr:rowOff>
    </xdr:from>
    <xdr:ext cx="184731" cy="264560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D984F16B-A4D3-4368-B889-C4D01066EC2F}"/>
            </a:ext>
          </a:extLst>
        </xdr:cNvPr>
        <xdr:cNvSpPr txBox="1"/>
      </xdr:nvSpPr>
      <xdr:spPr>
        <a:xfrm>
          <a:off x="6705600" y="3429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7</xdr:col>
      <xdr:colOff>0</xdr:colOff>
      <xdr:row>16</xdr:row>
      <xdr:rowOff>66675</xdr:rowOff>
    </xdr:from>
    <xdr:ext cx="184731" cy="26456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D8D2E017-D43A-4202-AD50-48A7C1205A1F}"/>
            </a:ext>
          </a:extLst>
        </xdr:cNvPr>
        <xdr:cNvSpPr txBox="1"/>
      </xdr:nvSpPr>
      <xdr:spPr>
        <a:xfrm>
          <a:off x="6048375" y="3429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7</xdr:col>
      <xdr:colOff>0</xdr:colOff>
      <xdr:row>16</xdr:row>
      <xdr:rowOff>66675</xdr:rowOff>
    </xdr:from>
    <xdr:ext cx="184731" cy="264560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B4AFCF01-2B08-48BF-B84A-D01BD2563567}"/>
            </a:ext>
          </a:extLst>
        </xdr:cNvPr>
        <xdr:cNvSpPr txBox="1"/>
      </xdr:nvSpPr>
      <xdr:spPr>
        <a:xfrm>
          <a:off x="6048375" y="3429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0</xdr:colOff>
      <xdr:row>16</xdr:row>
      <xdr:rowOff>66675</xdr:rowOff>
    </xdr:from>
    <xdr:ext cx="184731" cy="264560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B44D62AA-5701-4C25-9795-316970388363}"/>
            </a:ext>
          </a:extLst>
        </xdr:cNvPr>
        <xdr:cNvSpPr txBox="1"/>
      </xdr:nvSpPr>
      <xdr:spPr>
        <a:xfrm>
          <a:off x="6705600" y="3429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9</xdr:col>
      <xdr:colOff>0</xdr:colOff>
      <xdr:row>16</xdr:row>
      <xdr:rowOff>66675</xdr:rowOff>
    </xdr:from>
    <xdr:ext cx="184731" cy="264560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CF9EF54D-42E1-4D9D-A897-660518E17944}"/>
            </a:ext>
          </a:extLst>
        </xdr:cNvPr>
        <xdr:cNvSpPr txBox="1"/>
      </xdr:nvSpPr>
      <xdr:spPr>
        <a:xfrm>
          <a:off x="7620000" y="3429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9</xdr:col>
      <xdr:colOff>0</xdr:colOff>
      <xdr:row>16</xdr:row>
      <xdr:rowOff>66675</xdr:rowOff>
    </xdr:from>
    <xdr:ext cx="184731" cy="264560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06000A96-F6B1-47F2-BD77-B0F0B3E4D2E2}"/>
            </a:ext>
          </a:extLst>
        </xdr:cNvPr>
        <xdr:cNvSpPr txBox="1"/>
      </xdr:nvSpPr>
      <xdr:spPr>
        <a:xfrm>
          <a:off x="7620000" y="3429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9</xdr:col>
      <xdr:colOff>0</xdr:colOff>
      <xdr:row>16</xdr:row>
      <xdr:rowOff>66675</xdr:rowOff>
    </xdr:from>
    <xdr:ext cx="184731" cy="264560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A96AFFB9-3187-4508-84B0-959DBA5A1BB2}"/>
            </a:ext>
          </a:extLst>
        </xdr:cNvPr>
        <xdr:cNvSpPr txBox="1"/>
      </xdr:nvSpPr>
      <xdr:spPr>
        <a:xfrm>
          <a:off x="7620000" y="3429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4"/>
  <sheetViews>
    <sheetView workbookViewId="0">
      <selection activeCell="B13" sqref="B13"/>
    </sheetView>
  </sheetViews>
  <sheetFormatPr defaultColWidth="9" defaultRowHeight="12.75"/>
  <cols>
    <col min="1" max="1" width="33.28515625" style="12" customWidth="1"/>
    <col min="2" max="2" width="52.7109375" style="12" customWidth="1"/>
    <col min="3" max="3" width="0.140625" style="13" customWidth="1"/>
    <col min="4" max="4" width="9.140625" style="13" hidden="1" customWidth="1"/>
    <col min="5" max="256" width="9.140625" style="13"/>
    <col min="257" max="257" width="33.28515625" style="13" customWidth="1"/>
    <col min="258" max="258" width="52.7109375" style="13" customWidth="1"/>
    <col min="259" max="259" width="0.85546875" style="13" customWidth="1"/>
    <col min="260" max="512" width="9.140625" style="13"/>
    <col min="513" max="513" width="33.28515625" style="13" customWidth="1"/>
    <col min="514" max="514" width="52.7109375" style="13" customWidth="1"/>
    <col min="515" max="515" width="0.85546875" style="13" customWidth="1"/>
    <col min="516" max="768" width="9.140625" style="13"/>
    <col min="769" max="769" width="33.28515625" style="13" customWidth="1"/>
    <col min="770" max="770" width="52.7109375" style="13" customWidth="1"/>
    <col min="771" max="771" width="0.85546875" style="13" customWidth="1"/>
    <col min="772" max="1024" width="9.140625" style="13"/>
    <col min="1025" max="1025" width="33.28515625" style="13" customWidth="1"/>
    <col min="1026" max="1026" width="52.7109375" style="13" customWidth="1"/>
    <col min="1027" max="1027" width="0.85546875" style="13" customWidth="1"/>
    <col min="1028" max="1280" width="9.140625" style="13"/>
    <col min="1281" max="1281" width="33.28515625" style="13" customWidth="1"/>
    <col min="1282" max="1282" width="52.7109375" style="13" customWidth="1"/>
    <col min="1283" max="1283" width="0.85546875" style="13" customWidth="1"/>
    <col min="1284" max="1536" width="9.140625" style="13"/>
    <col min="1537" max="1537" width="33.28515625" style="13" customWidth="1"/>
    <col min="1538" max="1538" width="52.7109375" style="13" customWidth="1"/>
    <col min="1539" max="1539" width="0.85546875" style="13" customWidth="1"/>
    <col min="1540" max="1792" width="9.140625" style="13"/>
    <col min="1793" max="1793" width="33.28515625" style="13" customWidth="1"/>
    <col min="1794" max="1794" width="52.7109375" style="13" customWidth="1"/>
    <col min="1795" max="1795" width="0.85546875" style="13" customWidth="1"/>
    <col min="1796" max="2048" width="9.140625" style="13"/>
    <col min="2049" max="2049" width="33.28515625" style="13" customWidth="1"/>
    <col min="2050" max="2050" width="52.7109375" style="13" customWidth="1"/>
    <col min="2051" max="2051" width="0.85546875" style="13" customWidth="1"/>
    <col min="2052" max="2304" width="9.140625" style="13"/>
    <col min="2305" max="2305" width="33.28515625" style="13" customWidth="1"/>
    <col min="2306" max="2306" width="52.7109375" style="13" customWidth="1"/>
    <col min="2307" max="2307" width="0.85546875" style="13" customWidth="1"/>
    <col min="2308" max="2560" width="9.140625" style="13"/>
    <col min="2561" max="2561" width="33.28515625" style="13" customWidth="1"/>
    <col min="2562" max="2562" width="52.7109375" style="13" customWidth="1"/>
    <col min="2563" max="2563" width="0.85546875" style="13" customWidth="1"/>
    <col min="2564" max="2816" width="9.140625" style="13"/>
    <col min="2817" max="2817" width="33.28515625" style="13" customWidth="1"/>
    <col min="2818" max="2818" width="52.7109375" style="13" customWidth="1"/>
    <col min="2819" max="2819" width="0.85546875" style="13" customWidth="1"/>
    <col min="2820" max="3072" width="9.140625" style="13"/>
    <col min="3073" max="3073" width="33.28515625" style="13" customWidth="1"/>
    <col min="3074" max="3074" width="52.7109375" style="13" customWidth="1"/>
    <col min="3075" max="3075" width="0.85546875" style="13" customWidth="1"/>
    <col min="3076" max="3328" width="9.140625" style="13"/>
    <col min="3329" max="3329" width="33.28515625" style="13" customWidth="1"/>
    <col min="3330" max="3330" width="52.7109375" style="13" customWidth="1"/>
    <col min="3331" max="3331" width="0.85546875" style="13" customWidth="1"/>
    <col min="3332" max="3584" width="9.140625" style="13"/>
    <col min="3585" max="3585" width="33.28515625" style="13" customWidth="1"/>
    <col min="3586" max="3586" width="52.7109375" style="13" customWidth="1"/>
    <col min="3587" max="3587" width="0.85546875" style="13" customWidth="1"/>
    <col min="3588" max="3840" width="9.140625" style="13"/>
    <col min="3841" max="3841" width="33.28515625" style="13" customWidth="1"/>
    <col min="3842" max="3842" width="52.7109375" style="13" customWidth="1"/>
    <col min="3843" max="3843" width="0.85546875" style="13" customWidth="1"/>
    <col min="3844" max="4096" width="9.140625" style="13"/>
    <col min="4097" max="4097" width="33.28515625" style="13" customWidth="1"/>
    <col min="4098" max="4098" width="52.7109375" style="13" customWidth="1"/>
    <col min="4099" max="4099" width="0.85546875" style="13" customWidth="1"/>
    <col min="4100" max="4352" width="9.140625" style="13"/>
    <col min="4353" max="4353" width="33.28515625" style="13" customWidth="1"/>
    <col min="4354" max="4354" width="52.7109375" style="13" customWidth="1"/>
    <col min="4355" max="4355" width="0.85546875" style="13" customWidth="1"/>
    <col min="4356" max="4608" width="9.140625" style="13"/>
    <col min="4609" max="4609" width="33.28515625" style="13" customWidth="1"/>
    <col min="4610" max="4610" width="52.7109375" style="13" customWidth="1"/>
    <col min="4611" max="4611" width="0.85546875" style="13" customWidth="1"/>
    <col min="4612" max="4864" width="9.140625" style="13"/>
    <col min="4865" max="4865" width="33.28515625" style="13" customWidth="1"/>
    <col min="4866" max="4866" width="52.7109375" style="13" customWidth="1"/>
    <col min="4867" max="4867" width="0.85546875" style="13" customWidth="1"/>
    <col min="4868" max="5120" width="9.140625" style="13"/>
    <col min="5121" max="5121" width="33.28515625" style="13" customWidth="1"/>
    <col min="5122" max="5122" width="52.7109375" style="13" customWidth="1"/>
    <col min="5123" max="5123" width="0.85546875" style="13" customWidth="1"/>
    <col min="5124" max="5376" width="9.140625" style="13"/>
    <col min="5377" max="5377" width="33.28515625" style="13" customWidth="1"/>
    <col min="5378" max="5378" width="52.7109375" style="13" customWidth="1"/>
    <col min="5379" max="5379" width="0.85546875" style="13" customWidth="1"/>
    <col min="5380" max="5632" width="9.140625" style="13"/>
    <col min="5633" max="5633" width="33.28515625" style="13" customWidth="1"/>
    <col min="5634" max="5634" width="52.7109375" style="13" customWidth="1"/>
    <col min="5635" max="5635" width="0.85546875" style="13" customWidth="1"/>
    <col min="5636" max="5888" width="9.140625" style="13"/>
    <col min="5889" max="5889" width="33.28515625" style="13" customWidth="1"/>
    <col min="5890" max="5890" width="52.7109375" style="13" customWidth="1"/>
    <col min="5891" max="5891" width="0.85546875" style="13" customWidth="1"/>
    <col min="5892" max="6144" width="9.140625" style="13"/>
    <col min="6145" max="6145" width="33.28515625" style="13" customWidth="1"/>
    <col min="6146" max="6146" width="52.7109375" style="13" customWidth="1"/>
    <col min="6147" max="6147" width="0.85546875" style="13" customWidth="1"/>
    <col min="6148" max="6400" width="9.140625" style="13"/>
    <col min="6401" max="6401" width="33.28515625" style="13" customWidth="1"/>
    <col min="6402" max="6402" width="52.7109375" style="13" customWidth="1"/>
    <col min="6403" max="6403" width="0.85546875" style="13" customWidth="1"/>
    <col min="6404" max="6656" width="9.140625" style="13"/>
    <col min="6657" max="6657" width="33.28515625" style="13" customWidth="1"/>
    <col min="6658" max="6658" width="52.7109375" style="13" customWidth="1"/>
    <col min="6659" max="6659" width="0.85546875" style="13" customWidth="1"/>
    <col min="6660" max="6912" width="9.140625" style="13"/>
    <col min="6913" max="6913" width="33.28515625" style="13" customWidth="1"/>
    <col min="6914" max="6914" width="52.7109375" style="13" customWidth="1"/>
    <col min="6915" max="6915" width="0.85546875" style="13" customWidth="1"/>
    <col min="6916" max="7168" width="9.140625" style="13"/>
    <col min="7169" max="7169" width="33.28515625" style="13" customWidth="1"/>
    <col min="7170" max="7170" width="52.7109375" style="13" customWidth="1"/>
    <col min="7171" max="7171" width="0.85546875" style="13" customWidth="1"/>
    <col min="7172" max="7424" width="9.140625" style="13"/>
    <col min="7425" max="7425" width="33.28515625" style="13" customWidth="1"/>
    <col min="7426" max="7426" width="52.7109375" style="13" customWidth="1"/>
    <col min="7427" max="7427" width="0.85546875" style="13" customWidth="1"/>
    <col min="7428" max="7680" width="9.140625" style="13"/>
    <col min="7681" max="7681" width="33.28515625" style="13" customWidth="1"/>
    <col min="7682" max="7682" width="52.7109375" style="13" customWidth="1"/>
    <col min="7683" max="7683" width="0.85546875" style="13" customWidth="1"/>
    <col min="7684" max="7936" width="9.140625" style="13"/>
    <col min="7937" max="7937" width="33.28515625" style="13" customWidth="1"/>
    <col min="7938" max="7938" width="52.7109375" style="13" customWidth="1"/>
    <col min="7939" max="7939" width="0.85546875" style="13" customWidth="1"/>
    <col min="7940" max="8192" width="9.140625" style="13"/>
    <col min="8193" max="8193" width="33.28515625" style="13" customWidth="1"/>
    <col min="8194" max="8194" width="52.7109375" style="13" customWidth="1"/>
    <col min="8195" max="8195" width="0.85546875" style="13" customWidth="1"/>
    <col min="8196" max="8448" width="9.140625" style="13"/>
    <col min="8449" max="8449" width="33.28515625" style="13" customWidth="1"/>
    <col min="8450" max="8450" width="52.7109375" style="13" customWidth="1"/>
    <col min="8451" max="8451" width="0.85546875" style="13" customWidth="1"/>
    <col min="8452" max="8704" width="9.140625" style="13"/>
    <col min="8705" max="8705" width="33.28515625" style="13" customWidth="1"/>
    <col min="8706" max="8706" width="52.7109375" style="13" customWidth="1"/>
    <col min="8707" max="8707" width="0.85546875" style="13" customWidth="1"/>
    <col min="8708" max="8960" width="9.140625" style="13"/>
    <col min="8961" max="8961" width="33.28515625" style="13" customWidth="1"/>
    <col min="8962" max="8962" width="52.7109375" style="13" customWidth="1"/>
    <col min="8963" max="8963" width="0.85546875" style="13" customWidth="1"/>
    <col min="8964" max="9216" width="9.140625" style="13"/>
    <col min="9217" max="9217" width="33.28515625" style="13" customWidth="1"/>
    <col min="9218" max="9218" width="52.7109375" style="13" customWidth="1"/>
    <col min="9219" max="9219" width="0.85546875" style="13" customWidth="1"/>
    <col min="9220" max="9472" width="9.140625" style="13"/>
    <col min="9473" max="9473" width="33.28515625" style="13" customWidth="1"/>
    <col min="9474" max="9474" width="52.7109375" style="13" customWidth="1"/>
    <col min="9475" max="9475" width="0.85546875" style="13" customWidth="1"/>
    <col min="9476" max="9728" width="9.140625" style="13"/>
    <col min="9729" max="9729" width="33.28515625" style="13" customWidth="1"/>
    <col min="9730" max="9730" width="52.7109375" style="13" customWidth="1"/>
    <col min="9731" max="9731" width="0.85546875" style="13" customWidth="1"/>
    <col min="9732" max="9984" width="9.140625" style="13"/>
    <col min="9985" max="9985" width="33.28515625" style="13" customWidth="1"/>
    <col min="9986" max="9986" width="52.7109375" style="13" customWidth="1"/>
    <col min="9987" max="9987" width="0.85546875" style="13" customWidth="1"/>
    <col min="9988" max="10240" width="9.140625" style="13"/>
    <col min="10241" max="10241" width="33.28515625" style="13" customWidth="1"/>
    <col min="10242" max="10242" width="52.7109375" style="13" customWidth="1"/>
    <col min="10243" max="10243" width="0.85546875" style="13" customWidth="1"/>
    <col min="10244" max="10496" width="9.140625" style="13"/>
    <col min="10497" max="10497" width="33.28515625" style="13" customWidth="1"/>
    <col min="10498" max="10498" width="52.7109375" style="13" customWidth="1"/>
    <col min="10499" max="10499" width="0.85546875" style="13" customWidth="1"/>
    <col min="10500" max="10752" width="9.140625" style="13"/>
    <col min="10753" max="10753" width="33.28515625" style="13" customWidth="1"/>
    <col min="10754" max="10754" width="52.7109375" style="13" customWidth="1"/>
    <col min="10755" max="10755" width="0.85546875" style="13" customWidth="1"/>
    <col min="10756" max="11008" width="9.140625" style="13"/>
    <col min="11009" max="11009" width="33.28515625" style="13" customWidth="1"/>
    <col min="11010" max="11010" width="52.7109375" style="13" customWidth="1"/>
    <col min="11011" max="11011" width="0.85546875" style="13" customWidth="1"/>
    <col min="11012" max="11264" width="9.140625" style="13"/>
    <col min="11265" max="11265" width="33.28515625" style="13" customWidth="1"/>
    <col min="11266" max="11266" width="52.7109375" style="13" customWidth="1"/>
    <col min="11267" max="11267" width="0.85546875" style="13" customWidth="1"/>
    <col min="11268" max="11520" width="9.140625" style="13"/>
    <col min="11521" max="11521" width="33.28515625" style="13" customWidth="1"/>
    <col min="11522" max="11522" width="52.7109375" style="13" customWidth="1"/>
    <col min="11523" max="11523" width="0.85546875" style="13" customWidth="1"/>
    <col min="11524" max="11776" width="9.140625" style="13"/>
    <col min="11777" max="11777" width="33.28515625" style="13" customWidth="1"/>
    <col min="11778" max="11778" width="52.7109375" style="13" customWidth="1"/>
    <col min="11779" max="11779" width="0.85546875" style="13" customWidth="1"/>
    <col min="11780" max="12032" width="9.140625" style="13"/>
    <col min="12033" max="12033" width="33.28515625" style="13" customWidth="1"/>
    <col min="12034" max="12034" width="52.7109375" style="13" customWidth="1"/>
    <col min="12035" max="12035" width="0.85546875" style="13" customWidth="1"/>
    <col min="12036" max="12288" width="9.140625" style="13"/>
    <col min="12289" max="12289" width="33.28515625" style="13" customWidth="1"/>
    <col min="12290" max="12290" width="52.7109375" style="13" customWidth="1"/>
    <col min="12291" max="12291" width="0.85546875" style="13" customWidth="1"/>
    <col min="12292" max="12544" width="9.140625" style="13"/>
    <col min="12545" max="12545" width="33.28515625" style="13" customWidth="1"/>
    <col min="12546" max="12546" width="52.7109375" style="13" customWidth="1"/>
    <col min="12547" max="12547" width="0.85546875" style="13" customWidth="1"/>
    <col min="12548" max="12800" width="9.140625" style="13"/>
    <col min="12801" max="12801" width="33.28515625" style="13" customWidth="1"/>
    <col min="12802" max="12802" width="52.7109375" style="13" customWidth="1"/>
    <col min="12803" max="12803" width="0.85546875" style="13" customWidth="1"/>
    <col min="12804" max="13056" width="9.140625" style="13"/>
    <col min="13057" max="13057" width="33.28515625" style="13" customWidth="1"/>
    <col min="13058" max="13058" width="52.7109375" style="13" customWidth="1"/>
    <col min="13059" max="13059" width="0.85546875" style="13" customWidth="1"/>
    <col min="13060" max="13312" width="9.140625" style="13"/>
    <col min="13313" max="13313" width="33.28515625" style="13" customWidth="1"/>
    <col min="13314" max="13314" width="52.7109375" style="13" customWidth="1"/>
    <col min="13315" max="13315" width="0.85546875" style="13" customWidth="1"/>
    <col min="13316" max="13568" width="9.140625" style="13"/>
    <col min="13569" max="13569" width="33.28515625" style="13" customWidth="1"/>
    <col min="13570" max="13570" width="52.7109375" style="13" customWidth="1"/>
    <col min="13571" max="13571" width="0.85546875" style="13" customWidth="1"/>
    <col min="13572" max="13824" width="9.140625" style="13"/>
    <col min="13825" max="13825" width="33.28515625" style="13" customWidth="1"/>
    <col min="13826" max="13826" width="52.7109375" style="13" customWidth="1"/>
    <col min="13827" max="13827" width="0.85546875" style="13" customWidth="1"/>
    <col min="13828" max="14080" width="9.140625" style="13"/>
    <col min="14081" max="14081" width="33.28515625" style="13" customWidth="1"/>
    <col min="14082" max="14082" width="52.7109375" style="13" customWidth="1"/>
    <col min="14083" max="14083" width="0.85546875" style="13" customWidth="1"/>
    <col min="14084" max="14336" width="9.140625" style="13"/>
    <col min="14337" max="14337" width="33.28515625" style="13" customWidth="1"/>
    <col min="14338" max="14338" width="52.7109375" style="13" customWidth="1"/>
    <col min="14339" max="14339" width="0.85546875" style="13" customWidth="1"/>
    <col min="14340" max="14592" width="9.140625" style="13"/>
    <col min="14593" max="14593" width="33.28515625" style="13" customWidth="1"/>
    <col min="14594" max="14594" width="52.7109375" style="13" customWidth="1"/>
    <col min="14595" max="14595" width="0.85546875" style="13" customWidth="1"/>
    <col min="14596" max="14848" width="9.140625" style="13"/>
    <col min="14849" max="14849" width="33.28515625" style="13" customWidth="1"/>
    <col min="14850" max="14850" width="52.7109375" style="13" customWidth="1"/>
    <col min="14851" max="14851" width="0.85546875" style="13" customWidth="1"/>
    <col min="14852" max="15104" width="9.140625" style="13"/>
    <col min="15105" max="15105" width="33.28515625" style="13" customWidth="1"/>
    <col min="15106" max="15106" width="52.7109375" style="13" customWidth="1"/>
    <col min="15107" max="15107" width="0.85546875" style="13" customWidth="1"/>
    <col min="15108" max="15360" width="9.140625" style="13"/>
    <col min="15361" max="15361" width="33.28515625" style="13" customWidth="1"/>
    <col min="15362" max="15362" width="52.7109375" style="13" customWidth="1"/>
    <col min="15363" max="15363" width="0.85546875" style="13" customWidth="1"/>
    <col min="15364" max="15616" width="9.140625" style="13"/>
    <col min="15617" max="15617" width="33.28515625" style="13" customWidth="1"/>
    <col min="15618" max="15618" width="52.7109375" style="13" customWidth="1"/>
    <col min="15619" max="15619" width="0.85546875" style="13" customWidth="1"/>
    <col min="15620" max="15872" width="9.140625" style="13"/>
    <col min="15873" max="15873" width="33.28515625" style="13" customWidth="1"/>
    <col min="15874" max="15874" width="52.7109375" style="13" customWidth="1"/>
    <col min="15875" max="15875" width="0.85546875" style="13" customWidth="1"/>
    <col min="15876" max="16128" width="9.140625" style="13"/>
    <col min="16129" max="16129" width="33.28515625" style="13" customWidth="1"/>
    <col min="16130" max="16130" width="52.7109375" style="13" customWidth="1"/>
    <col min="16131" max="16131" width="0.85546875" style="13" customWidth="1"/>
    <col min="16132" max="16384" width="9.140625" style="13"/>
  </cols>
  <sheetData>
    <row r="1" spans="1:4" ht="15" customHeight="1">
      <c r="A1" s="14"/>
      <c r="C1" s="12"/>
    </row>
    <row r="2" spans="1:4" ht="64.5" customHeight="1">
      <c r="A2" s="30" t="s">
        <v>0</v>
      </c>
      <c r="B2" s="30"/>
      <c r="C2" s="15"/>
    </row>
    <row r="3" spans="1:4" ht="54" customHeight="1">
      <c r="A3" s="16"/>
      <c r="B3" s="16"/>
    </row>
    <row r="4" spans="1:4" ht="25.5" hidden="1" customHeight="1">
      <c r="A4" s="31"/>
      <c r="B4" s="31"/>
    </row>
    <row r="5" spans="1:4" ht="7.5" customHeight="1">
      <c r="A5" s="17"/>
      <c r="B5" s="17"/>
    </row>
    <row r="6" spans="1:4" ht="49.5" customHeight="1">
      <c r="A6" s="32" t="s">
        <v>1</v>
      </c>
      <c r="B6" s="32"/>
      <c r="C6" s="32"/>
      <c r="D6" s="32"/>
    </row>
    <row r="7" spans="1:4" ht="42" customHeight="1">
      <c r="A7" s="18" t="s">
        <v>2</v>
      </c>
      <c r="B7" s="18" t="s">
        <v>3</v>
      </c>
    </row>
    <row r="8" spans="1:4" ht="42" customHeight="1">
      <c r="A8" s="19" t="s">
        <v>4</v>
      </c>
      <c r="B8" s="18" t="s">
        <v>5</v>
      </c>
    </row>
    <row r="9" spans="1:4" ht="27.75" customHeight="1">
      <c r="A9" s="20"/>
      <c r="B9" s="20"/>
    </row>
    <row r="10" spans="1:4" ht="49.5" customHeight="1">
      <c r="A10" s="32" t="s">
        <v>6</v>
      </c>
      <c r="B10" s="32"/>
    </row>
    <row r="11" spans="1:4" ht="42" customHeight="1">
      <c r="A11" s="21" t="s">
        <v>7</v>
      </c>
      <c r="B11" s="21" t="s">
        <v>8</v>
      </c>
    </row>
    <row r="12" spans="1:4" ht="42" customHeight="1">
      <c r="A12" s="21" t="s">
        <v>9</v>
      </c>
      <c r="B12" s="21" t="s">
        <v>10</v>
      </c>
    </row>
    <row r="13" spans="1:4" ht="42" customHeight="1">
      <c r="A13" s="21" t="s">
        <v>11</v>
      </c>
      <c r="B13" s="22" t="s">
        <v>10</v>
      </c>
    </row>
    <row r="14" spans="1:4" ht="42" customHeight="1">
      <c r="A14" s="23" t="s">
        <v>12</v>
      </c>
      <c r="B14" s="23" t="s">
        <v>13</v>
      </c>
    </row>
    <row r="15" spans="1:4" ht="42" customHeight="1">
      <c r="A15" s="23" t="s">
        <v>14</v>
      </c>
      <c r="B15" s="23" t="s">
        <v>10</v>
      </c>
    </row>
    <row r="16" spans="1:4" ht="36">
      <c r="A16" s="24" t="s">
        <v>15</v>
      </c>
      <c r="B16" s="25" t="s">
        <v>16</v>
      </c>
    </row>
    <row r="17" spans="1:2">
      <c r="A17" s="16"/>
      <c r="B17" s="16"/>
    </row>
    <row r="18" spans="1:2">
      <c r="A18" s="16"/>
      <c r="B18" s="16"/>
    </row>
    <row r="19" spans="1:2">
      <c r="A19" s="16"/>
      <c r="B19" s="16"/>
    </row>
    <row r="20" spans="1:2">
      <c r="A20" s="16"/>
      <c r="B20" s="16"/>
    </row>
    <row r="21" spans="1:2">
      <c r="A21" s="16"/>
      <c r="B21" s="16"/>
    </row>
    <row r="22" spans="1:2">
      <c r="A22" s="16"/>
      <c r="B22" s="16"/>
    </row>
    <row r="23" spans="1:2">
      <c r="A23" s="16"/>
      <c r="B23" s="16"/>
    </row>
    <row r="24" spans="1:2">
      <c r="A24" s="16"/>
      <c r="B24" s="16"/>
    </row>
  </sheetData>
  <mergeCells count="4">
    <mergeCell ref="A2:B2"/>
    <mergeCell ref="A4:B4"/>
    <mergeCell ref="A6:D6"/>
    <mergeCell ref="A10:B10"/>
  </mergeCells>
  <pageMargins left="0.17" right="0.14000000000000001" top="0.11" bottom="0.2" header="0.1" footer="0.08"/>
  <pageSetup paperSize="9" orientation="portrait" verticalDpi="300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30"/>
  <sheetViews>
    <sheetView tabSelected="1" workbookViewId="0">
      <selection activeCell="P12" sqref="P12"/>
    </sheetView>
  </sheetViews>
  <sheetFormatPr defaultColWidth="9" defaultRowHeight="12.75"/>
  <cols>
    <col min="1" max="1" width="9.5703125" customWidth="1"/>
    <col min="2" max="2" width="20.85546875" customWidth="1"/>
    <col min="3" max="3" width="17.28515625" customWidth="1"/>
    <col min="4" max="4" width="16.7109375" customWidth="1"/>
    <col min="5" max="5" width="15.7109375" hidden="1" customWidth="1"/>
    <col min="6" max="7" width="13.7109375" customWidth="1"/>
    <col min="8" max="8" width="9.85546875" customWidth="1"/>
    <col min="9" max="9" width="13.7109375" customWidth="1"/>
    <col min="10" max="10" width="14.5703125" customWidth="1"/>
  </cols>
  <sheetData>
    <row r="1" spans="1:10">
      <c r="A1" t="s">
        <v>17</v>
      </c>
    </row>
    <row r="2" spans="1:10">
      <c r="A2" t="s">
        <v>18</v>
      </c>
    </row>
    <row r="3" spans="1:10">
      <c r="A3" t="s">
        <v>19</v>
      </c>
    </row>
    <row r="4" spans="1:10">
      <c r="A4" s="1" t="s">
        <v>20</v>
      </c>
    </row>
    <row r="5" spans="1:10" ht="7.5" customHeight="1">
      <c r="A5" s="2"/>
      <c r="B5" s="2"/>
      <c r="C5" s="2"/>
      <c r="D5" s="2"/>
      <c r="E5" s="2"/>
      <c r="F5" s="2"/>
      <c r="G5" s="2"/>
      <c r="H5" s="3"/>
    </row>
    <row r="6" spans="1:10" ht="12.75" hidden="1" customHeight="1">
      <c r="A6" s="1" t="s">
        <v>21</v>
      </c>
    </row>
    <row r="7" spans="1:10">
      <c r="E7" s="4"/>
    </row>
    <row r="8" spans="1:10" ht="15">
      <c r="F8" s="5"/>
      <c r="G8" s="5"/>
    </row>
    <row r="9" spans="1:10" ht="31.5">
      <c r="A9" s="34" t="s">
        <v>41</v>
      </c>
      <c r="B9" s="34"/>
      <c r="C9" s="34"/>
      <c r="D9" s="34"/>
      <c r="E9" s="34"/>
      <c r="F9" s="34"/>
      <c r="G9" s="34"/>
      <c r="H9" s="34"/>
    </row>
    <row r="11" spans="1:10" ht="31.5">
      <c r="B11" s="35" t="s">
        <v>22</v>
      </c>
      <c r="C11" s="35"/>
      <c r="D11" s="35"/>
      <c r="E11" s="35"/>
      <c r="F11" s="35"/>
      <c r="G11" s="35"/>
      <c r="H11" s="35"/>
    </row>
    <row r="12" spans="1:10" ht="22.5" customHeight="1">
      <c r="B12" s="36" t="s">
        <v>23</v>
      </c>
      <c r="C12" s="39" t="s">
        <v>24</v>
      </c>
      <c r="D12" s="39"/>
      <c r="E12" s="39"/>
      <c r="F12" s="39"/>
      <c r="G12" s="39"/>
      <c r="H12" s="39"/>
      <c r="I12" s="39"/>
      <c r="J12" s="39"/>
    </row>
    <row r="13" spans="1:10" ht="22.5" customHeight="1">
      <c r="B13" s="37"/>
      <c r="C13" s="39"/>
      <c r="D13" s="39"/>
      <c r="E13" s="39"/>
      <c r="F13" s="39"/>
      <c r="G13" s="39"/>
      <c r="H13" s="39"/>
      <c r="I13" s="39"/>
      <c r="J13" s="39"/>
    </row>
    <row r="14" spans="1:10" ht="22.5" customHeight="1">
      <c r="B14" s="37"/>
      <c r="C14" s="39"/>
      <c r="D14" s="39"/>
      <c r="E14" s="39"/>
      <c r="F14" s="39"/>
      <c r="G14" s="39"/>
      <c r="H14" s="39"/>
      <c r="I14" s="39"/>
      <c r="J14" s="39"/>
    </row>
    <row r="15" spans="1:10" ht="22.5" customHeight="1">
      <c r="B15" s="37"/>
      <c r="C15" s="39"/>
      <c r="D15" s="39"/>
      <c r="E15" s="39"/>
      <c r="F15" s="39"/>
      <c r="G15" s="39"/>
      <c r="H15" s="39"/>
      <c r="I15" s="39"/>
      <c r="J15" s="39"/>
    </row>
    <row r="16" spans="1:10" ht="12.75" customHeight="1">
      <c r="B16" s="37"/>
      <c r="C16" s="40" t="s">
        <v>26</v>
      </c>
      <c r="D16" s="43" t="s">
        <v>27</v>
      </c>
      <c r="E16" s="46" t="s">
        <v>25</v>
      </c>
      <c r="F16" s="49" t="s">
        <v>28</v>
      </c>
      <c r="G16" s="58" t="s">
        <v>29</v>
      </c>
      <c r="H16" s="63" t="s">
        <v>32</v>
      </c>
      <c r="I16" s="56" t="s">
        <v>31</v>
      </c>
      <c r="J16" s="54" t="s">
        <v>30</v>
      </c>
    </row>
    <row r="17" spans="1:20" ht="13.5" customHeight="1">
      <c r="B17" s="37"/>
      <c r="C17" s="40"/>
      <c r="D17" s="43"/>
      <c r="E17" s="46"/>
      <c r="F17" s="49"/>
      <c r="G17" s="58"/>
      <c r="H17" s="63"/>
      <c r="I17" s="56"/>
      <c r="J17" s="54"/>
    </row>
    <row r="18" spans="1:20" ht="12.75" customHeight="1">
      <c r="B18" s="37"/>
      <c r="C18" s="40"/>
      <c r="D18" s="43"/>
      <c r="E18" s="46"/>
      <c r="F18" s="49"/>
      <c r="G18" s="58"/>
      <c r="H18" s="63"/>
      <c r="I18" s="56"/>
      <c r="J18" s="54"/>
    </row>
    <row r="19" spans="1:20" ht="13.5" customHeight="1">
      <c r="B19" s="37"/>
      <c r="C19" s="40"/>
      <c r="D19" s="43"/>
      <c r="E19" s="46"/>
      <c r="F19" s="49"/>
      <c r="G19" s="58"/>
      <c r="H19" s="63"/>
      <c r="I19" s="56"/>
      <c r="J19" s="54"/>
    </row>
    <row r="20" spans="1:20" ht="12.75" customHeight="1">
      <c r="B20" s="37"/>
      <c r="C20" s="40"/>
      <c r="D20" s="43"/>
      <c r="E20" s="46"/>
      <c r="F20" s="49"/>
      <c r="G20" s="58"/>
      <c r="H20" s="63"/>
      <c r="I20" s="56"/>
      <c r="J20" s="54"/>
    </row>
    <row r="21" spans="1:20" ht="12.75" customHeight="1">
      <c r="B21" s="38"/>
      <c r="C21" s="41"/>
      <c r="D21" s="44"/>
      <c r="E21" s="47"/>
      <c r="F21" s="50"/>
      <c r="G21" s="59"/>
      <c r="H21" s="64"/>
      <c r="I21" s="56"/>
      <c r="J21" s="54"/>
    </row>
    <row r="22" spans="1:20" ht="12.75" customHeight="1">
      <c r="B22" s="39">
        <v>4</v>
      </c>
      <c r="C22" s="42">
        <f>D22*100/90</f>
        <v>2011.1111111111111</v>
      </c>
      <c r="D22" s="75">
        <f>1810</f>
        <v>1810</v>
      </c>
      <c r="E22" s="48">
        <v>730</v>
      </c>
      <c r="F22" s="51">
        <f>G22*100/90</f>
        <v>2377.7777777777778</v>
      </c>
      <c r="G22" s="60">
        <f>2140</f>
        <v>2140</v>
      </c>
      <c r="H22" s="65">
        <v>750</v>
      </c>
      <c r="I22" s="57">
        <f>J22*100/90</f>
        <v>3497.7777777777778</v>
      </c>
      <c r="J22" s="55">
        <f>3148</f>
        <v>3148</v>
      </c>
    </row>
    <row r="23" spans="1:20" ht="12.75" customHeight="1">
      <c r="B23" s="39"/>
      <c r="C23" s="42"/>
      <c r="D23" s="76"/>
      <c r="E23" s="48"/>
      <c r="F23" s="52"/>
      <c r="G23" s="61"/>
      <c r="H23" s="66"/>
      <c r="I23" s="57"/>
      <c r="J23" s="55"/>
      <c r="N23" s="29"/>
    </row>
    <row r="24" spans="1:20" ht="12.75" customHeight="1">
      <c r="B24" s="39"/>
      <c r="C24" s="42"/>
      <c r="D24" s="77"/>
      <c r="E24" s="48"/>
      <c r="F24" s="53"/>
      <c r="G24" s="62"/>
      <c r="H24" s="66"/>
      <c r="I24" s="57"/>
      <c r="J24" s="55"/>
    </row>
    <row r="25" spans="1:20" ht="12.75" customHeight="1">
      <c r="B25" s="39">
        <v>8</v>
      </c>
      <c r="C25" s="42">
        <f>D25*100/90</f>
        <v>3744.4444444444443</v>
      </c>
      <c r="D25" s="75">
        <f>3370</f>
        <v>3370</v>
      </c>
      <c r="E25" s="48"/>
      <c r="F25" s="51">
        <f>G25*100/90</f>
        <v>4433.333333333333</v>
      </c>
      <c r="G25" s="60">
        <f>3990</f>
        <v>3990</v>
      </c>
      <c r="H25" s="66"/>
      <c r="I25" s="57">
        <f>J25*100/90</f>
        <v>6834.4444444444443</v>
      </c>
      <c r="J25" s="55">
        <f>6151</f>
        <v>6151</v>
      </c>
    </row>
    <row r="26" spans="1:20" ht="12.75" customHeight="1">
      <c r="B26" s="39"/>
      <c r="C26" s="42"/>
      <c r="D26" s="76"/>
      <c r="E26" s="48"/>
      <c r="F26" s="52"/>
      <c r="G26" s="61"/>
      <c r="H26" s="66"/>
      <c r="I26" s="57"/>
      <c r="J26" s="55"/>
    </row>
    <row r="27" spans="1:20" ht="12.75" customHeight="1">
      <c r="B27" s="39"/>
      <c r="C27" s="42"/>
      <c r="D27" s="77"/>
      <c r="E27" s="48"/>
      <c r="F27" s="53"/>
      <c r="G27" s="62"/>
      <c r="H27" s="66"/>
      <c r="I27" s="57"/>
      <c r="J27" s="55"/>
    </row>
    <row r="28" spans="1:20" ht="36.75" customHeight="1">
      <c r="B28" s="7">
        <v>10</v>
      </c>
      <c r="C28" s="6">
        <f>D28*100/90</f>
        <v>4000</v>
      </c>
      <c r="D28" s="79">
        <f>3500+100</f>
        <v>3600</v>
      </c>
      <c r="E28" s="48"/>
      <c r="F28" s="9">
        <f>G28*100/90</f>
        <v>5177.7777777777774</v>
      </c>
      <c r="G28" s="78">
        <f>4360+300</f>
        <v>4660</v>
      </c>
      <c r="H28" s="67"/>
      <c r="I28" s="28">
        <f>J28*100/90</f>
        <v>8342.2222222222226</v>
      </c>
      <c r="J28" s="27">
        <v>7508</v>
      </c>
    </row>
    <row r="29" spans="1:20" ht="15.75" customHeight="1">
      <c r="E29" s="11"/>
    </row>
    <row r="30" spans="1:20" ht="12.75" customHeight="1">
      <c r="A30" s="29"/>
      <c r="B30" s="80"/>
      <c r="C30" s="80"/>
      <c r="D30" s="80"/>
      <c r="E30" s="80"/>
      <c r="F30" s="80"/>
      <c r="G30" s="29" t="s">
        <v>33</v>
      </c>
      <c r="H30" s="80"/>
      <c r="I30" s="80"/>
      <c r="J30" s="29"/>
      <c r="K30" s="29"/>
      <c r="L30" s="29"/>
      <c r="M30" s="29"/>
      <c r="O30" s="29"/>
      <c r="P30" s="29"/>
      <c r="Q30" s="29"/>
      <c r="R30" s="29"/>
      <c r="S30" s="29"/>
      <c r="T30" s="29"/>
    </row>
  </sheetData>
  <mergeCells count="28">
    <mergeCell ref="F25:F27"/>
    <mergeCell ref="J16:J21"/>
    <mergeCell ref="J22:J24"/>
    <mergeCell ref="J25:J27"/>
    <mergeCell ref="C12:J15"/>
    <mergeCell ref="I16:I21"/>
    <mergeCell ref="I22:I24"/>
    <mergeCell ref="I25:I27"/>
    <mergeCell ref="G16:G21"/>
    <mergeCell ref="G22:G24"/>
    <mergeCell ref="G25:G27"/>
    <mergeCell ref="H16:H21"/>
    <mergeCell ref="H22:H28"/>
    <mergeCell ref="A9:H9"/>
    <mergeCell ref="B11:H11"/>
    <mergeCell ref="B12:B21"/>
    <mergeCell ref="B22:B24"/>
    <mergeCell ref="B25:B27"/>
    <mergeCell ref="C16:C21"/>
    <mergeCell ref="C22:C24"/>
    <mergeCell ref="C25:C27"/>
    <mergeCell ref="D16:D21"/>
    <mergeCell ref="D22:D24"/>
    <mergeCell ref="D25:D27"/>
    <mergeCell ref="E16:E21"/>
    <mergeCell ref="E22:E28"/>
    <mergeCell ref="F16:F21"/>
    <mergeCell ref="F22:F24"/>
  </mergeCells>
  <pageMargins left="0.2" right="0.56999999999999995" top="0.31" bottom="0.31" header="0.31496062992126" footer="0.31496062992126"/>
  <pageSetup paperSize="9" orientation="landscape" horizontalDpi="4294967293" verticalDpi="18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36AEC-509C-46F2-A897-57ABBCF0860C}">
  <dimension ref="A1:T30"/>
  <sheetViews>
    <sheetView workbookViewId="0">
      <selection activeCell="T17" sqref="T16:T17"/>
    </sheetView>
  </sheetViews>
  <sheetFormatPr defaultColWidth="9" defaultRowHeight="12.75"/>
  <cols>
    <col min="1" max="1" width="6.140625" customWidth="1"/>
    <col min="2" max="2" width="23.140625" customWidth="1"/>
    <col min="3" max="3" width="17.28515625" customWidth="1"/>
    <col min="4" max="4" width="16.7109375" customWidth="1"/>
    <col min="5" max="5" width="15.7109375" hidden="1" customWidth="1"/>
    <col min="6" max="7" width="13.7109375" customWidth="1"/>
    <col min="8" max="8" width="9.85546875" customWidth="1"/>
    <col min="9" max="9" width="13.7109375" customWidth="1"/>
    <col min="10" max="10" width="14.5703125" customWidth="1"/>
  </cols>
  <sheetData>
    <row r="1" spans="1:10">
      <c r="A1" t="s">
        <v>17</v>
      </c>
    </row>
    <row r="2" spans="1:10">
      <c r="A2" t="s">
        <v>18</v>
      </c>
    </row>
    <row r="3" spans="1:10">
      <c r="A3" t="s">
        <v>19</v>
      </c>
    </row>
    <row r="4" spans="1:10">
      <c r="A4" s="1" t="s">
        <v>20</v>
      </c>
    </row>
    <row r="5" spans="1:10" ht="7.5" customHeight="1">
      <c r="A5" s="2"/>
      <c r="B5" s="2"/>
      <c r="C5" s="2"/>
      <c r="D5" s="2"/>
      <c r="E5" s="2"/>
      <c r="F5" s="2"/>
      <c r="G5" s="2"/>
      <c r="H5" s="3"/>
    </row>
    <row r="6" spans="1:10" ht="12.75" hidden="1" customHeight="1">
      <c r="A6" s="1" t="s">
        <v>21</v>
      </c>
    </row>
    <row r="7" spans="1:10">
      <c r="E7" s="4"/>
    </row>
    <row r="8" spans="1:10" ht="15">
      <c r="F8" s="5"/>
      <c r="G8" s="5"/>
    </row>
    <row r="9" spans="1:10" ht="32.25">
      <c r="A9" s="70" t="s">
        <v>40</v>
      </c>
      <c r="B9" s="34"/>
      <c r="C9" s="34"/>
      <c r="D9" s="34"/>
      <c r="E9" s="34"/>
      <c r="F9" s="34"/>
      <c r="G9" s="34"/>
      <c r="H9" s="34"/>
    </row>
    <row r="11" spans="1:10" ht="31.5">
      <c r="B11" s="35" t="s">
        <v>22</v>
      </c>
      <c r="C11" s="35"/>
      <c r="D11" s="35"/>
      <c r="E11" s="35"/>
      <c r="F11" s="35"/>
      <c r="G11" s="35"/>
      <c r="H11" s="35"/>
    </row>
    <row r="12" spans="1:10" ht="22.5" customHeight="1">
      <c r="B12" s="36" t="s">
        <v>23</v>
      </c>
      <c r="C12" s="39" t="s">
        <v>24</v>
      </c>
      <c r="D12" s="39"/>
      <c r="E12" s="39"/>
      <c r="F12" s="39"/>
      <c r="G12" s="39"/>
      <c r="H12" s="39"/>
      <c r="I12" s="39"/>
      <c r="J12" s="39"/>
    </row>
    <row r="13" spans="1:10" ht="22.5" customHeight="1">
      <c r="B13" s="37"/>
      <c r="C13" s="39"/>
      <c r="D13" s="39"/>
      <c r="E13" s="39"/>
      <c r="F13" s="39"/>
      <c r="G13" s="39"/>
      <c r="H13" s="39"/>
      <c r="I13" s="39"/>
      <c r="J13" s="39"/>
    </row>
    <row r="14" spans="1:10" ht="22.5" customHeight="1">
      <c r="B14" s="37"/>
      <c r="C14" s="39"/>
      <c r="D14" s="39"/>
      <c r="E14" s="39"/>
      <c r="F14" s="39"/>
      <c r="G14" s="39"/>
      <c r="H14" s="39"/>
      <c r="I14" s="39"/>
      <c r="J14" s="39"/>
    </row>
    <row r="15" spans="1:10" ht="22.5" customHeight="1">
      <c r="B15" s="37"/>
      <c r="C15" s="39"/>
      <c r="D15" s="39"/>
      <c r="E15" s="39"/>
      <c r="F15" s="39"/>
      <c r="G15" s="39"/>
      <c r="H15" s="39"/>
      <c r="I15" s="39"/>
      <c r="J15" s="39"/>
    </row>
    <row r="16" spans="1:10" ht="12.75" customHeight="1">
      <c r="B16" s="37"/>
      <c r="C16" s="71" t="s">
        <v>36</v>
      </c>
      <c r="D16" s="72" t="s">
        <v>37</v>
      </c>
      <c r="E16" s="46" t="s">
        <v>25</v>
      </c>
      <c r="F16" s="73" t="s">
        <v>34</v>
      </c>
      <c r="G16" s="74" t="s">
        <v>38</v>
      </c>
      <c r="H16" s="63" t="s">
        <v>32</v>
      </c>
      <c r="I16" s="68" t="s">
        <v>35</v>
      </c>
      <c r="J16" s="69" t="s">
        <v>39</v>
      </c>
    </row>
    <row r="17" spans="1:20" ht="13.5" customHeight="1">
      <c r="B17" s="37"/>
      <c r="C17" s="40"/>
      <c r="D17" s="43"/>
      <c r="E17" s="46"/>
      <c r="F17" s="49"/>
      <c r="G17" s="58"/>
      <c r="H17" s="63"/>
      <c r="I17" s="56"/>
      <c r="J17" s="54"/>
    </row>
    <row r="18" spans="1:20" ht="12.75" customHeight="1">
      <c r="B18" s="37"/>
      <c r="C18" s="40"/>
      <c r="D18" s="43"/>
      <c r="E18" s="46"/>
      <c r="F18" s="49"/>
      <c r="G18" s="58"/>
      <c r="H18" s="63"/>
      <c r="I18" s="56"/>
      <c r="J18" s="54"/>
    </row>
    <row r="19" spans="1:20" ht="13.5" customHeight="1">
      <c r="B19" s="37"/>
      <c r="C19" s="40"/>
      <c r="D19" s="43"/>
      <c r="E19" s="46"/>
      <c r="F19" s="49"/>
      <c r="G19" s="58"/>
      <c r="H19" s="63"/>
      <c r="I19" s="56"/>
      <c r="J19" s="54"/>
    </row>
    <row r="20" spans="1:20" ht="12.75" customHeight="1">
      <c r="B20" s="37"/>
      <c r="C20" s="40"/>
      <c r="D20" s="43"/>
      <c r="E20" s="46"/>
      <c r="F20" s="49"/>
      <c r="G20" s="58"/>
      <c r="H20" s="63"/>
      <c r="I20" s="56"/>
      <c r="J20" s="54"/>
    </row>
    <row r="21" spans="1:20" ht="12.75" customHeight="1">
      <c r="B21" s="38"/>
      <c r="C21" s="41"/>
      <c r="D21" s="44"/>
      <c r="E21" s="47"/>
      <c r="F21" s="50"/>
      <c r="G21" s="59"/>
      <c r="H21" s="64"/>
      <c r="I21" s="56"/>
      <c r="J21" s="54"/>
    </row>
    <row r="22" spans="1:20" ht="12.75" customHeight="1">
      <c r="B22" s="39">
        <v>4</v>
      </c>
      <c r="C22" s="42">
        <f>D22*100/90</f>
        <v>2377.7777777777778</v>
      </c>
      <c r="D22" s="45">
        <f>2140</f>
        <v>2140</v>
      </c>
      <c r="E22" s="48">
        <v>730</v>
      </c>
      <c r="F22" s="51">
        <f>G22*100/90</f>
        <v>1788.8888888888889</v>
      </c>
      <c r="G22" s="60">
        <f>1610</f>
        <v>1610</v>
      </c>
      <c r="H22" s="65">
        <v>750</v>
      </c>
      <c r="I22" s="57">
        <f>J22*100/90</f>
        <v>2011.1111111111111</v>
      </c>
      <c r="J22" s="55">
        <f>1810</f>
        <v>1810</v>
      </c>
    </row>
    <row r="23" spans="1:20" ht="12.75" customHeight="1">
      <c r="B23" s="39"/>
      <c r="C23" s="42"/>
      <c r="D23" s="45"/>
      <c r="E23" s="48"/>
      <c r="F23" s="52"/>
      <c r="G23" s="61"/>
      <c r="H23" s="66"/>
      <c r="I23" s="57"/>
      <c r="J23" s="55"/>
    </row>
    <row r="24" spans="1:20" ht="12.75" customHeight="1">
      <c r="B24" s="39"/>
      <c r="C24" s="42"/>
      <c r="D24" s="45"/>
      <c r="E24" s="48"/>
      <c r="F24" s="53"/>
      <c r="G24" s="62"/>
      <c r="H24" s="66"/>
      <c r="I24" s="57"/>
      <c r="J24" s="55"/>
    </row>
    <row r="25" spans="1:20" ht="12.75" customHeight="1">
      <c r="B25" s="39">
        <v>8</v>
      </c>
      <c r="C25" s="42">
        <f>D25*100/90</f>
        <v>4433.333333333333</v>
      </c>
      <c r="D25" s="45">
        <f>3990</f>
        <v>3990</v>
      </c>
      <c r="E25" s="48"/>
      <c r="F25" s="51">
        <f>G25*100/90</f>
        <v>3522.2222222222222</v>
      </c>
      <c r="G25" s="60">
        <f>3170</f>
        <v>3170</v>
      </c>
      <c r="H25" s="66"/>
      <c r="I25" s="57">
        <f>J25*100/90</f>
        <v>3744.4444444444443</v>
      </c>
      <c r="J25" s="55">
        <f>3370</f>
        <v>3370</v>
      </c>
    </row>
    <row r="26" spans="1:20" ht="12.75" customHeight="1">
      <c r="B26" s="39"/>
      <c r="C26" s="42"/>
      <c r="D26" s="45"/>
      <c r="E26" s="48"/>
      <c r="F26" s="52"/>
      <c r="G26" s="61"/>
      <c r="H26" s="66"/>
      <c r="I26" s="57"/>
      <c r="J26" s="55"/>
    </row>
    <row r="27" spans="1:20" ht="12.75" customHeight="1">
      <c r="B27" s="39"/>
      <c r="C27" s="42"/>
      <c r="D27" s="45"/>
      <c r="E27" s="48"/>
      <c r="F27" s="53"/>
      <c r="G27" s="62"/>
      <c r="H27" s="66"/>
      <c r="I27" s="57"/>
      <c r="J27" s="55"/>
    </row>
    <row r="28" spans="1:20" ht="36.75" customHeight="1">
      <c r="B28" s="7">
        <v>10</v>
      </c>
      <c r="C28" s="26">
        <f>D28*100/90</f>
        <v>5177.7777777777774</v>
      </c>
      <c r="D28" s="8">
        <f>4360+300</f>
        <v>4660</v>
      </c>
      <c r="E28" s="48"/>
      <c r="F28" s="9">
        <f>G28*100/90</f>
        <v>4000</v>
      </c>
      <c r="G28" s="10">
        <f>3500+100</f>
        <v>3600</v>
      </c>
      <c r="H28" s="67"/>
      <c r="I28" s="28">
        <f>J28*100/90</f>
        <v>4222.2222222222226</v>
      </c>
      <c r="J28" s="27">
        <v>3800</v>
      </c>
    </row>
    <row r="29" spans="1:20" ht="15.75" customHeight="1">
      <c r="E29" s="11"/>
    </row>
    <row r="30" spans="1:20" ht="12.75" customHeight="1">
      <c r="A30" s="33" t="s">
        <v>33</v>
      </c>
      <c r="B30" s="33"/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</row>
  </sheetData>
  <mergeCells count="29">
    <mergeCell ref="A9:H9"/>
    <mergeCell ref="B11:H11"/>
    <mergeCell ref="B12:B21"/>
    <mergeCell ref="C12:J15"/>
    <mergeCell ref="C16:C21"/>
    <mergeCell ref="D16:D21"/>
    <mergeCell ref="E16:E21"/>
    <mergeCell ref="F16:F21"/>
    <mergeCell ref="G16:G21"/>
    <mergeCell ref="H16:H21"/>
    <mergeCell ref="I16:I21"/>
    <mergeCell ref="J16:J21"/>
    <mergeCell ref="B22:B24"/>
    <mergeCell ref="C22:C24"/>
    <mergeCell ref="D22:D24"/>
    <mergeCell ref="E22:E28"/>
    <mergeCell ref="F22:F24"/>
    <mergeCell ref="G22:G24"/>
    <mergeCell ref="H22:H28"/>
    <mergeCell ref="I22:I24"/>
    <mergeCell ref="A30:T30"/>
    <mergeCell ref="J22:J24"/>
    <mergeCell ref="B25:B27"/>
    <mergeCell ref="C25:C27"/>
    <mergeCell ref="D25:D27"/>
    <mergeCell ref="F25:F27"/>
    <mergeCell ref="G25:G27"/>
    <mergeCell ref="I25:I27"/>
    <mergeCell ref="J25:J27"/>
  </mergeCells>
  <pageMargins left="0.7" right="0.7" top="0.75" bottom="0.75" header="0.3" footer="0.3"/>
  <pageSetup paperSize="9" orientation="landscape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Доплаты</vt:lpstr>
      <vt:lpstr>АЗ</vt:lpstr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DimaFit</cp:lastModifiedBy>
  <cp:lastPrinted>2026-07-29T18:07:21Z</cp:lastPrinted>
  <dcterms:created xsi:type="dcterms:W3CDTF">1996-10-08T23:32:00Z</dcterms:created>
  <dcterms:modified xsi:type="dcterms:W3CDTF">2026-07-29T18:10:28Z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C614BBA1599D42B9B01EAFE2BDBEEFA7_12</vt:lpwstr>
  </property>
  <property fmtid="{D5CDD505-2E9C-101B-9397-08002B2CF9AE}" pid="3" name="KSOProductBuildVer">
    <vt:lpwstr>1049-12.2.0.23196</vt:lpwstr>
  </property>
</Properties>
</file>